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able S1 Not retrieved" sheetId="2" state="visible" r:id="rId4"/>
    <sheet name="Table S2 Included" sheetId="3" state="visible" r:id="rId5"/>
    <sheet name="Table S3 Excluded" sheetId="4" state="visible" r:id="rId6"/>
    <sheet name="Table S4 Thesaurus" sheetId="5" state="visible" r:id="rId7"/>
    <sheet name="Table S5 Sensitivit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<sst xmlns="http://schemas.openxmlformats.org/spreadsheetml/2006/main" count="2028" uniqueCount="1368">
  <si>
    <t xml:space="preserve">Supplementary Material</t>
  </si>
  <si>
    <t xml:space="preserve">Is It the Landfill? A Systematic Review of Methods for Attributing Groundwater Contamination to Landfill Leachate</t>
  </si>
  <si>
    <t xml:space="preserve">Contents</t>
  </si>
  <si>
    <t xml:space="preserve">Table S1. Reports sought for retrieval but not retrieved (n = 14).</t>
  </si>
  <si>
    <t xml:space="preserve">Table S2. Studies included in the review, with extracted data and appraisal scores (n = 133).</t>
  </si>
  <si>
    <t xml:space="preserve">Table S3. Reports excluded after assessment of the full text, with reasons (n = 48).</t>
  </si>
  <si>
    <t xml:space="preserve">Table S4. Thesaurus applied to the author keywords in the keyword co-occurrence analysis.</t>
  </si>
  <si>
    <t xml:space="preserve">Table S5. Sensitivity of the method profile and regional distribution to the definition of the subset.</t>
  </si>
  <si>
    <t xml:space="preserve">Method categories used in Table S2</t>
  </si>
  <si>
    <t xml:space="preserve">1 Major ion hydrochemistry and facies analysis</t>
  </si>
  <si>
    <t xml:space="preserve">2 Conservative tracers based on chloride and bromide</t>
  </si>
  <si>
    <t xml:space="preserve">3 Nitrogen species and redox indicators</t>
  </si>
  <si>
    <t xml:space="preserve">4 Organic load and dissolved organic matter (BOD5, COD, fluorescence)</t>
  </si>
  <si>
    <t xml:space="preserve">5 Isotopic source tracers (δ13C of dissolved inorganic carbon, tritium, δ15N and δ18O of nitrate, δ34S and δ18O of sulfate, δ11B)</t>
  </si>
  <si>
    <t xml:space="preserve">6 Stable isotopes of water (δ18O, δ2H)</t>
  </si>
  <si>
    <t xml:space="preserve">7 Multivariate statistics (PCA, HCA, self organising maps)</t>
  </si>
  <si>
    <t xml:space="preserve">8 Receptor models (PMF, APCS MLR)</t>
  </si>
  <si>
    <t xml:space="preserve">9 Mixing models and mass balance</t>
  </si>
  <si>
    <t xml:space="preserve">10 Geophysical methods and emerging tracers</t>
  </si>
  <si>
    <t xml:space="preserve">Appraisal criteria (1 = met, 0 = not met)</t>
  </si>
  <si>
    <t xml:space="preserve">Q1 Designated background point (upgradient, control or uncontaminated point identified as such by the authors)</t>
  </si>
  <si>
    <t xml:space="preserve">Q2 At least one analytical quality control measure explicitly reported</t>
  </si>
  <si>
    <t xml:space="preserve">Q3 Leachate sampled and characterised</t>
  </si>
  <si>
    <t xml:space="preserve">Q4 Leachate signal explicitly separated from the natural background or another source</t>
  </si>
  <si>
    <t xml:space="preserve">A description of the sampling design was verified for every study and treated as a condition of eligibility, not as a scored criterion.</t>
  </si>
  <si>
    <t xml:space="preserve">The score is the sum of Q1 to Q4 (0 to 4) and is computed by formula. Studies meeting at least three of the four criteria form the main subset of the sensitivity analysis (Table S5).</t>
  </si>
  <si>
    <t xml:space="preserve">Summary (computed from the tables)</t>
  </si>
  <si>
    <t xml:space="preserve">Studies included</t>
  </si>
  <si>
    <t xml:space="preserve">Mean score (0 to 4)</t>
  </si>
  <si>
    <t xml:space="preserve">Studies meeting at least 3 of 4 criteria</t>
  </si>
  <si>
    <t xml:space="preserve">Reports not retrieved (Table S1)</t>
  </si>
  <si>
    <t xml:space="preserve">Reports excluded (Table S3)</t>
  </si>
  <si>
    <t xml:space="preserve">Table S1. Reports sought but not retrieved (n = 14)</t>
  </si>
  <si>
    <t xml:space="preserve">Full texts could not be obtained through institutional access, open access sources or requests to the authors.</t>
  </si>
  <si>
    <t xml:space="preserve">Record</t>
  </si>
  <si>
    <t xml:space="preserve">First author</t>
  </si>
  <si>
    <t xml:space="preserve">Year</t>
  </si>
  <si>
    <t xml:space="preserve">Title</t>
  </si>
  <si>
    <t xml:space="preserve">Journal</t>
  </si>
  <si>
    <t xml:space="preserve">DOI</t>
  </si>
  <si>
    <t xml:space="preserve">Reason not retrieved</t>
  </si>
  <si>
    <t xml:space="preserve">S1-1</t>
  </si>
  <si>
    <t xml:space="preserve">Foley et al.</t>
  </si>
  <si>
    <t xml:space="preserve">Chlorofluorocarbons as tracers of landfill leachate in surface and groundwater</t>
  </si>
  <si>
    <t xml:space="preserve">Quarterly Journal of Engineering Geology and Hydrogeology</t>
  </si>
  <si>
    <t xml:space="preserve">10.1144/1470-9236/10-044</t>
  </si>
  <si>
    <t xml:space="preserve">No institutional access, no open access version, no copy from authors or repositories</t>
  </si>
  <si>
    <t xml:space="preserve">S1-2</t>
  </si>
  <si>
    <t xml:space="preserve">Rusu et al.</t>
  </si>
  <si>
    <t xml:space="preserve">Assessment of groundwater and surface water contamination by landfill leachate: A case study in Neamt County, Romania</t>
  </si>
  <si>
    <t xml:space="preserve">Environmental Engineering and Management Journal</t>
  </si>
  <si>
    <t xml:space="preserve">10.30638/eemj.2017.065</t>
  </si>
  <si>
    <t xml:space="preserve">S1-3</t>
  </si>
  <si>
    <t xml:space="preserve">Stefania et al.</t>
  </si>
  <si>
    <t xml:space="preserve">The hydrochemical database TANGCHIM, a tool to manage groundwater quality data: the case study of a leachate plume from a dumping area</t>
  </si>
  <si>
    <t xml:space="preserve">Rendiconti Online Della Societa Geologica Italiana</t>
  </si>
  <si>
    <t xml:space="preserve">10.3301/ROL.2019.21</t>
  </si>
  <si>
    <t xml:space="preserve">Only the abstract available; no full text located</t>
  </si>
  <si>
    <t xml:space="preserve">S1-4</t>
  </si>
  <si>
    <t xml:space="preserve">Kaur et al.</t>
  </si>
  <si>
    <t xml:space="preserve">Assessing the risk of landfill leachate on the groundwater quality of Chandigarh</t>
  </si>
  <si>
    <t xml:space="preserve">Journal of Environmental Biology</t>
  </si>
  <si>
    <t xml:space="preserve">10.22438/jeb/43/4/MRN-2097</t>
  </si>
  <si>
    <t xml:space="preserve">S1-5</t>
  </si>
  <si>
    <t xml:space="preserve">Zamani et al.</t>
  </si>
  <si>
    <t xml:space="preserve">Physicochemical Analysis of Leachates from the Public Landfill of Guercif City Before Restoration and Impact on the Tafrata Water Table, Soil, and River Moulouya in Morocco</t>
  </si>
  <si>
    <t xml:space="preserve">Tropical Journal of Natural Product Research</t>
  </si>
  <si>
    <t xml:space="preserve">10.26538/tjnpr/v6i4.7</t>
  </si>
  <si>
    <t xml:space="preserve">DOI does not resolve; no copy located</t>
  </si>
  <si>
    <t xml:space="preserve">S1-6</t>
  </si>
  <si>
    <t xml:space="preserve">Patnaik et al.</t>
  </si>
  <si>
    <t xml:space="preserve">Monitoring groundwater quality using principal component analysis</t>
  </si>
  <si>
    <t xml:space="preserve">Applied Geomatics</t>
  </si>
  <si>
    <t xml:space="preserve">10.1007/s12518-024-00552-z</t>
  </si>
  <si>
    <t xml:space="preserve">S1-7</t>
  </si>
  <si>
    <t xml:space="preserve">Majee et al.</t>
  </si>
  <si>
    <t xml:space="preserve">Isotopic tracing of leachate percolation from municipal solid waste dump sites to groundwater in diverse climatic zones of India</t>
  </si>
  <si>
    <t xml:space="preserve">Environmental Science and Pollution Research</t>
  </si>
  <si>
    <t xml:space="preserve">10.1007/s11356-024-32551-3</t>
  </si>
  <si>
    <t xml:space="preserve">S1-8</t>
  </si>
  <si>
    <t xml:space="preserve">Bhagwat et al.</t>
  </si>
  <si>
    <t xml:space="preserve">Use of environmental isotopes in leachate studies through multiple isotopic analysis–a review</t>
  </si>
  <si>
    <t xml:space="preserve">Environmental Technology Reviews</t>
  </si>
  <si>
    <t xml:space="preserve">10.1080/21622515.2024.2315098</t>
  </si>
  <si>
    <t xml:space="preserve">S1-9</t>
  </si>
  <si>
    <t xml:space="preserve">Tangahu et al.</t>
  </si>
  <si>
    <t xml:space="preserve">THE DISTRIBUTION OF LEACHATE POLLUTANTS FROM THE JABON LANDFILL, SIDOARJO REGENCY</t>
  </si>
  <si>
    <t xml:space="preserve">Journal of Solid Waste Technology and Management</t>
  </si>
  <si>
    <t xml:space="preserve">10.5276/jswtm/iswmaw/502/2024.527</t>
  </si>
  <si>
    <t xml:space="preserve">S1-10</t>
  </si>
  <si>
    <t xml:space="preserve">Nguyen et al.</t>
  </si>
  <si>
    <t xml:space="preserve">Exploring relationships among landfill leachate parameters through multivariate analysis for monitoring purposes</t>
  </si>
  <si>
    <t xml:space="preserve">Waste Management and Research</t>
  </si>
  <si>
    <t xml:space="preserve">10.1177/0734242X241265062</t>
  </si>
  <si>
    <t xml:space="preserve">S1-11</t>
  </si>
  <si>
    <t xml:space="preserve">Gupta et al.</t>
  </si>
  <si>
    <t xml:space="preserve">Spatio-temporal variation in hydrochemistry, environmental isotopes and its suitability for drinking and irrigation, National Capital Region, Delhi</t>
  </si>
  <si>
    <t xml:space="preserve">Environmental Earth Sciences</t>
  </si>
  <si>
    <t xml:space="preserve">10.1007/s12665-025-12594-6</t>
  </si>
  <si>
    <t xml:space="preserve">S1-12</t>
  </si>
  <si>
    <t xml:space="preserve">Hussain et al.</t>
  </si>
  <si>
    <t xml:space="preserve">Landfill leachate analysis from selected landfill sites and its impact on groundwater quality, New Delhi, India</t>
  </si>
  <si>
    <t xml:space="preserve">Environment, Development and Sustainability</t>
  </si>
  <si>
    <t xml:space="preserve">10.1007/s10668-023-04403-6</t>
  </si>
  <si>
    <t xml:space="preserve">S1-13</t>
  </si>
  <si>
    <t xml:space="preserve">Sugumaran et al.</t>
  </si>
  <si>
    <t xml:space="preserve">Heavy Metal Behavior in Semi-Arid Groundwater Systems of Tiruchirappalli, Tamil Nadu: Environmental Insights</t>
  </si>
  <si>
    <t xml:space="preserve">Water, Air, and Soil Pollution</t>
  </si>
  <si>
    <t xml:space="preserve">10.1007/s11270-026-09193-x</t>
  </si>
  <si>
    <t xml:space="preserve">S1-14</t>
  </si>
  <si>
    <t xml:space="preserve">Venkatesh et al.</t>
  </si>
  <si>
    <t xml:space="preserve">Assessment of groundwater quality using water quality index, multivariate statistical analysis and machine learning techniques in the vicinity of an open dumping yard</t>
  </si>
  <si>
    <t xml:space="preserve">10.1007/s10668-024-05209-w</t>
  </si>
  <si>
    <t xml:space="preserve">Table S2. Studies included in the review (n = 133)</t>
  </si>
  <si>
    <t xml:space="preserve">Method categories and appraisal criteria are defined in "Read me". Ordered by year and first author.</t>
  </si>
  <si>
    <t xml:space="preserve">Study</t>
  </si>
  <si>
    <t xml:space="preserve">Source</t>
  </si>
  <si>
    <t xml:space="preserve">Country</t>
  </si>
  <si>
    <t xml:space="preserve">Region</t>
  </si>
  <si>
    <t xml:space="preserve">Aquifer type</t>
  </si>
  <si>
    <t xml:space="preserve">Method categories</t>
  </si>
  <si>
    <t xml:space="preserve">Isotopic tracers used</t>
  </si>
  <si>
    <t xml:space="preserve">Q1</t>
  </si>
  <si>
    <t xml:space="preserve">Q2</t>
  </si>
  <si>
    <t xml:space="preserve">Q3</t>
  </si>
  <si>
    <t xml:space="preserve">Q4</t>
  </si>
  <si>
    <t xml:space="preserve">Score (0 to 4)</t>
  </si>
  <si>
    <t xml:space="preserve">Meets at least 3 of 4</t>
  </si>
  <si>
    <t xml:space="preserve">Key finding on discrimination</t>
  </si>
  <si>
    <t xml:space="preserve">Site note</t>
  </si>
  <si>
    <t xml:space="preserve">S2-1</t>
  </si>
  <si>
    <t xml:space="preserve">Canton et al.</t>
  </si>
  <si>
    <t xml:space="preserve">Impact of solid waste disposal on nutrient dynamics in a sandy catchment</t>
  </si>
  <si>
    <t xml:space="preserve">Journal Of Contaminant Hydrology</t>
  </si>
  <si>
    <t xml:space="preserve">10.1016/j.jconhyd.2010.04.006</t>
  </si>
  <si>
    <t xml:space="preserve">Scopus (abstract re-screening)</t>
  </si>
  <si>
    <t xml:space="preserve">France</t>
  </si>
  <si>
    <t xml:space="preserve">Europe</t>
  </si>
  <si>
    <t xml:space="preserve">Sandy coastal lowland aquifer</t>
  </si>
  <si>
    <t xml:space="preserve">1, 3, 9, 10</t>
  </si>
  <si>
    <t xml:space="preserve">Chloride plume about 1700 m but ammonium plume under 800 m in a sandy aquifer exfiltrating to a stream: nitrification and cation exchange attenuate ammonium; ERT and self-potential delineate the plume.</t>
  </si>
  <si>
    <t xml:space="preserve">S2-2</t>
  </si>
  <si>
    <t xml:space="preserve">Rahim et al.</t>
  </si>
  <si>
    <t xml:space="preserve">Deterioration of groundwater quality in the vicinity of an active open-tipping site in West Malaysia</t>
  </si>
  <si>
    <t xml:space="preserve">Hydrogeology Journal</t>
  </si>
  <si>
    <t xml:space="preserve">10.1007/s10040-009-0567-3</t>
  </si>
  <si>
    <t xml:space="preserve">Web of Science search</t>
  </si>
  <si>
    <t xml:space="preserve">Malaysia</t>
  </si>
  <si>
    <t xml:space="preserve">East &amp; South-East Asia</t>
  </si>
  <si>
    <t xml:space="preserve">Shallow (unprotected natural soil)</t>
  </si>
  <si>
    <t xml:space="preserve">1, 4</t>
  </si>
  <si>
    <t xml:space="preserve">Open-tipping site: 40 leachate and 36 groundwater samples against background bicarbonate water; ionic balance error of about 13.5% shows a leachate-dominated groundwater body under the site.</t>
  </si>
  <si>
    <t xml:space="preserve">S2-3</t>
  </si>
  <si>
    <t xml:space="preserve">Alslaibi et al.</t>
  </si>
  <si>
    <t xml:space="preserve">Assessment of groundwater quality due to municipal solid waste landfills leachate</t>
  </si>
  <si>
    <t xml:space="preserve">Journal of Environmental Science and Technology</t>
  </si>
  <si>
    <t xml:space="preserve">10.3923/jest.2011.419.436</t>
  </si>
  <si>
    <t xml:space="preserve">Scopus search</t>
  </si>
  <si>
    <t xml:space="preserve">Palestine (Gaza)</t>
  </si>
  <si>
    <t xml:space="preserve">MENA</t>
  </si>
  <si>
    <t xml:space="preserve">1, 3, 4</t>
  </si>
  <si>
    <t xml:space="preserve">18 downstream wells at a lined and an unlined landfill, with GIS maps of 1995–2008 data: Cl and EC highest close to the landfills along the south-westward flow; nitrate may also come from fertiliser and manure.</t>
  </si>
  <si>
    <t xml:space="preserve">S2-4</t>
  </si>
  <si>
    <t xml:space="preserve">Cozzarelli et al.</t>
  </si>
  <si>
    <t xml:space="preserve">Biogeochemical evolution of a landfill leachate plume, Norman, Oklahoma</t>
  </si>
  <si>
    <t xml:space="preserve">Ground Water</t>
  </si>
  <si>
    <t xml:space="preserve">10.1111/j.1745-6584.2010.00792.x</t>
  </si>
  <si>
    <t xml:space="preserve">USA</t>
  </si>
  <si>
    <t xml:space="preserve">Americas</t>
  </si>
  <si>
    <t xml:space="preserve">Alluvial sand and gravel</t>
  </si>
  <si>
    <t xml:space="preserve">1, 3, 6, 9</t>
  </si>
  <si>
    <t xml:space="preserve">Decade-long redox zonation at the Norman Landfill: NH4 retarded by sorption and CH4 oxidised, both measured against conservative chloride; electron-acceptor capacity depleting.</t>
  </si>
  <si>
    <t xml:space="preserve">S2-5</t>
  </si>
  <si>
    <t xml:space="preserve">Pearce et al.</t>
  </si>
  <si>
    <t xml:space="preserve">Subsurface characterization of groundwater contaminated by landfill leachate using microbial community profile data and a nonparametric decision-making process</t>
  </si>
  <si>
    <t xml:space="preserve">Water Resources Research</t>
  </si>
  <si>
    <t xml:space="preserve">10.1029/2010WR009992</t>
  </si>
  <si>
    <t xml:space="preserve">7, 10</t>
  </si>
  <si>
    <t xml:space="preserve">Microbial community profiles (T-RFLP), reduced by PCA and clustered with a weighted self-organising map, reproduce the background, fringe and contaminated zones defined by hydrochemistry at an unlined landfill.</t>
  </si>
  <si>
    <t xml:space="preserve">S2-6</t>
  </si>
  <si>
    <t xml:space="preserve">Castañeda et al.</t>
  </si>
  <si>
    <t xml:space="preserve">Environmental isotopes and major ions for tracing leachate contamination from a municipal landfill in Metro Manila, Philippines</t>
  </si>
  <si>
    <t xml:space="preserve">Journal Of Environmental Radioactivity</t>
  </si>
  <si>
    <t xml:space="preserve">10.1016/j.jenvrad.2012.01.022</t>
  </si>
  <si>
    <t xml:space="preserve">Philippines</t>
  </si>
  <si>
    <t xml:space="preserve">1, 5, 6</t>
  </si>
  <si>
    <t xml:space="preserve">Tritium</t>
  </si>
  <si>
    <t xml:space="preserve">Tritium is the confirmatory leachate tracer where conservative ions are obscured by geogenic and other sources; tritium and leachate ions decline exponentially with distance.</t>
  </si>
  <si>
    <t xml:space="preserve">S2-7</t>
  </si>
  <si>
    <t xml:space="preserve">Lopes et al.</t>
  </si>
  <si>
    <t xml:space="preserve">Geophysical technique and groundwater monitoring to detect leachate contamination in the surrounding area of a landfill - Londrina (PR - Brazil)</t>
  </si>
  <si>
    <t xml:space="preserve">Journal Of Environmental Management</t>
  </si>
  <si>
    <t xml:space="preserve">10.1016/j.jenvman.2012.05.028</t>
  </si>
  <si>
    <t xml:space="preserve">Brazil</t>
  </si>
  <si>
    <t xml:space="preserve">1, 4, 10</t>
  </si>
  <si>
    <t xml:space="preserve">Surface resistivity defines the plume and guides well placement; highest EC and alkalinity fall in wells inside the resistivity anomaly.</t>
  </si>
  <si>
    <t xml:space="preserve">S2-8</t>
  </si>
  <si>
    <t xml:space="preserve">Oufline et al.</t>
  </si>
  <si>
    <t xml:space="preserve">Impact of human activities on the physico-chemical quality of surface water and groundwater in the north of Marrakech (Morocco)</t>
  </si>
  <si>
    <t xml:space="preserve">Environmental Technology</t>
  </si>
  <si>
    <t xml:space="preserve">10.1080/09593330.2012.660644</t>
  </si>
  <si>
    <t xml:space="preserve">Morocco</t>
  </si>
  <si>
    <t xml:space="preserve">1, 7</t>
  </si>
  <si>
    <t xml:space="preserve">PCA with upstream/downstream points separates three sources in the Marrakech plain: landfill leachate, wastewater spreading and mining; wastewater and mining dominate.</t>
  </si>
  <si>
    <t xml:space="preserve">S2-9</t>
  </si>
  <si>
    <t xml:space="preserve">Thomsen et al.</t>
  </si>
  <si>
    <t xml:space="preserve">Application of a contaminant mass balance method at an old landfill to assess the impact on water resources</t>
  </si>
  <si>
    <t xml:space="preserve">Waste Management</t>
  </si>
  <si>
    <t xml:space="preserve">10.1016/j.wasman.2012.06.014</t>
  </si>
  <si>
    <t xml:space="preserve">Denmark</t>
  </si>
  <si>
    <t xml:space="preserve">Clay till over limestone aquifer</t>
  </si>
  <si>
    <t xml:space="preserve">3, 4, 9</t>
  </si>
  <si>
    <t xml:space="preserve">Contaminant mass balance quantifies landfill discharge: chloride 9.4 t/yr, of which 1.4 t/yr reaches the limestone aquifer; works for Cl and DOC, less well for NH4 because of attenuation.</t>
  </si>
  <si>
    <t xml:space="preserve">S2-10</t>
  </si>
  <si>
    <t xml:space="preserve">Haarstad and Mæhlum</t>
  </si>
  <si>
    <t xml:space="preserve">Tracing solid waste leachate in groundwater using δ13 C from dissolved inorganic carbon</t>
  </si>
  <si>
    <t xml:space="preserve">Isotopes in Environmental and Health Studies</t>
  </si>
  <si>
    <t xml:space="preserve">10.1080/10256016.2012.668902</t>
  </si>
  <si>
    <t xml:space="preserve">Norway</t>
  </si>
  <si>
    <t xml:space="preserve">Fractured bedrock and glaciofluvial deposits</t>
  </si>
  <si>
    <t xml:space="preserve">5</t>
  </si>
  <si>
    <t xml:space="preserve">δ13C, Tritium</t>
  </si>
  <si>
    <t xml:space="preserve">Across several landfills, only δ13C-DIC differs significantly between unpolluted, weakly and strongly polluted groundwater: more sensitive than organics, salts, nutrients or metals.</t>
  </si>
  <si>
    <t xml:space="preserve">S2-11</t>
  </si>
  <si>
    <t xml:space="preserve">Han et al.</t>
  </si>
  <si>
    <t xml:space="preserve">Evaluation of organic contamination in urban groundwater surrounding a municipal landfill, Zhoukou, China</t>
  </si>
  <si>
    <t xml:space="preserve">Environmental Monitoring and Assessment</t>
  </si>
  <si>
    <t xml:space="preserve">10.1007/s10661-012-2801-z</t>
  </si>
  <si>
    <t xml:space="preserve">China</t>
  </si>
  <si>
    <t xml:space="preserve">Shallow aquifer</t>
  </si>
  <si>
    <t xml:space="preserve">PAH diagnostic ratios and PCA identify the landfill body as the main source of groundwater organic contamination, while wastewater and irrigation return flow explain surface-water pollution.</t>
  </si>
  <si>
    <t xml:space="preserve">Same landfill as study S2-15</t>
  </si>
  <si>
    <t xml:space="preserve">S2-12</t>
  </si>
  <si>
    <t xml:space="preserve">Milosevic et al.</t>
  </si>
  <si>
    <t xml:space="preserve">Combined isotope and enantiomer analysis to assess the fate of phenoxy acids in a heterogeneous geologic setting at an old landfill</t>
  </si>
  <si>
    <t xml:space="preserve">Water Research</t>
  </si>
  <si>
    <t xml:space="preserve">10.1016/j.watres.2012.10.029</t>
  </si>
  <si>
    <t xml:space="preserve">Clay till</t>
  </si>
  <si>
    <t xml:space="preserve">2, 5, 6</t>
  </si>
  <si>
    <t xml:space="preserve">δ13C</t>
  </si>
  <si>
    <t xml:space="preserve">Chloride and water isotopes as conservative tracers delineate two leachate flow paths in clay till; compound-specific and enantiomer-specific isotope analysis assess herbicide transformation at the Risby landfill.</t>
  </si>
  <si>
    <t xml:space="preserve">Same landfill as study S2-9</t>
  </si>
  <si>
    <t xml:space="preserve">S2-13</t>
  </si>
  <si>
    <t xml:space="preserve">Raco et al.</t>
  </si>
  <si>
    <t xml:space="preserve">A quick and reliable method to detect and quantify contamination from MSW landfills: A case study</t>
  </si>
  <si>
    <t xml:space="preserve">10.1007/s11270-012-1380-5</t>
  </si>
  <si>
    <t xml:space="preserve">Greece</t>
  </si>
  <si>
    <t xml:space="preserve">Alluvial graben sediments</t>
  </si>
  <si>
    <t xml:space="preserve">1, 5, 6, 10</t>
  </si>
  <si>
    <t xml:space="preserve">Leachate, boreholes and streams at two landfills with δD, δ18O, tritium, δ13C-DIC and landfill gas: chloride and metals are ambiguous leachate tracers in marine-derived sediments, where natural values mimic or mask contamination.</t>
  </si>
  <si>
    <t xml:space="preserve">S2-14</t>
  </si>
  <si>
    <t xml:space="preserve">Fernández et al.</t>
  </si>
  <si>
    <t xml:space="preserve">Identification and assessment of water pollution as a consequence of a leachate plume migration from a municipal landfill site (Tucumán, Argentina)</t>
  </si>
  <si>
    <t xml:space="preserve">Environmental Geochemistry and Health</t>
  </si>
  <si>
    <t xml:space="preserve">10.1007/s10653-013-9576-1</t>
  </si>
  <si>
    <t xml:space="preserve">Argentina</t>
  </si>
  <si>
    <t xml:space="preserve">Alluvial (fluvial bar, paleochannel)</t>
  </si>
  <si>
    <t xml:space="preserve">Redox zonation along the plume (SO4, NO3, Fe, Mn reduction); NH4, COD and HCO3 identify a second leachate source near P12; plume extends 900 m. Groundwater background value used.</t>
  </si>
  <si>
    <t xml:space="preserve">S2-15</t>
  </si>
  <si>
    <t xml:space="preserve">Evaluation of the impact of an uncontrolled landfill on surrounding groundwater quality, Zhoukou, China</t>
  </si>
  <si>
    <t xml:space="preserve">Journal of Geochemical Exploration</t>
  </si>
  <si>
    <t xml:space="preserve">10.1016/j.gexplo.2013.09.008</t>
  </si>
  <si>
    <t xml:space="preserve">Shallow aquifer (&lt;30 m)</t>
  </si>
  <si>
    <t xml:space="preserve">1, 3, 6, 7</t>
  </si>
  <si>
    <t xml:space="preserve">PCA identifies TDS, Cl, NH4, Fe and Mn as leachate indicators and separates them from irrigation return flow dominating the shallow aquifer in summer; δ18O/δ2H show common recharge.</t>
  </si>
  <si>
    <t xml:space="preserve">S2-16</t>
  </si>
  <si>
    <t xml:space="preserve">Hossain et al.</t>
  </si>
  <si>
    <t xml:space="preserve">Impact of landfill leachate on surface and ground water quality</t>
  </si>
  <si>
    <t xml:space="preserve">10.3923/jest.2014.337.346</t>
  </si>
  <si>
    <t xml:space="preserve">Bangladesh</t>
  </si>
  <si>
    <t xml:space="preserve">South Asia</t>
  </si>
  <si>
    <t xml:space="preserve">Rowfabad landfill (Chittagong): leachate, surface water and three groundwater points within 300 m, assessed against drinking-water standards; faecal coliforms and iron in groundwater.</t>
  </si>
  <si>
    <t xml:space="preserve">S2-17</t>
  </si>
  <si>
    <t xml:space="preserve">Moreau and Minard</t>
  </si>
  <si>
    <t xml:space="preserve">Coupled nitrogen and oxygen isotope study of nitrate at a rural unlined landfill in Western Victoria, Australia</t>
  </si>
  <si>
    <t xml:space="preserve">American Journal of Environmental Sciences</t>
  </si>
  <si>
    <t xml:space="preserve">10.3844/ajessp.2014.383.390</t>
  </si>
  <si>
    <t xml:space="preserve">Australia</t>
  </si>
  <si>
    <t xml:space="preserve">Oceania</t>
  </si>
  <si>
    <t xml:space="preserve">Shallow unconfined with palaeochannels</t>
  </si>
  <si>
    <t xml:space="preserve">3, 5</t>
  </si>
  <si>
    <t xml:space="preserve">δ15N and δ18O of nitrate</t>
  </si>
  <si>
    <t xml:space="preserve">Nitrate dual isotopes separate leachate-derived nitrate with denitrification downgradient from agricultural nitrate upgradient at a rural unlined landfill.</t>
  </si>
  <si>
    <t xml:space="preserve">S2-18</t>
  </si>
  <si>
    <t xml:space="preserve">Syafalni et al.</t>
  </si>
  <si>
    <t xml:space="preserve">Isotopic and hydrochemistry fingerprinting of leachate migration in shallow groundwater at controlled and uncontrolled landfill sites</t>
  </si>
  <si>
    <t xml:space="preserve">World Applied Sciences Journal</t>
  </si>
  <si>
    <t xml:space="preserve">10.5829/idosi.wasj.2014.31.06.217</t>
  </si>
  <si>
    <t xml:space="preserve">Shallow groundwater</t>
  </si>
  <si>
    <t xml:space="preserve">1, 6</t>
  </si>
  <si>
    <t xml:space="preserve">Piper facies and δ2H/δ18O at a controlled and an uncontrolled landfill: enriched δ2H and δ18O shift mark leachate mixing in specific boreholes.</t>
  </si>
  <si>
    <t xml:space="preserve">S2-19</t>
  </si>
  <si>
    <t xml:space="preserve">Abd El-Salam and Abu-Zuid</t>
  </si>
  <si>
    <t xml:space="preserve">Impact of landfill leachate on the groundwater quality: A case study in Egypt</t>
  </si>
  <si>
    <t xml:space="preserve">Journal Of Advanced Research</t>
  </si>
  <si>
    <t xml:space="preserve">10.1016/j.jare.2014.02.003</t>
  </si>
  <si>
    <t xml:space="preserve">Egypt</t>
  </si>
  <si>
    <t xml:space="preserve">Alexandria landfills: biodegradable, un-stabilised leachate (BOD5/COD 0.69), but groundwater near the lined cells not severely contaminated.</t>
  </si>
  <si>
    <t xml:space="preserve">S2-20</t>
  </si>
  <si>
    <t xml:space="preserve">Atta et al.</t>
  </si>
  <si>
    <t xml:space="preserve">The potential impact of leachate-contaminated groundwater of an ex-landfill site at Taman Beringin Kuala Lumpur, Malaysia</t>
  </si>
  <si>
    <t xml:space="preserve">10.1007/s12665-014-3675-x</t>
  </si>
  <si>
    <t xml:space="preserve">Taman Beringin ex-landfill: four monitoring wells including an upstream one and six leachate points; COD, BOD, NH3-N, Cl, F and metals exceed standards downgradient.</t>
  </si>
  <si>
    <t xml:space="preserve">S2-21</t>
  </si>
  <si>
    <t xml:space="preserve">Aziz and Maulood</t>
  </si>
  <si>
    <t xml:space="preserve">Contamination valuation of soil and groundwater source at anaerobic municipal solid waste landfill site</t>
  </si>
  <si>
    <t xml:space="preserve">Environmental Monitoring And Assessment</t>
  </si>
  <si>
    <t xml:space="preserve">10.1007/s10661-015-4971-y</t>
  </si>
  <si>
    <t xml:space="preserve">Iraq</t>
  </si>
  <si>
    <t xml:space="preserve">Unconfined and leaky unconfined (conglomerate)</t>
  </si>
  <si>
    <t xml:space="preserve">Erbil landfill: leachate, soil and groundwater compared with unpolluted groundwater outside the landfill; leachate in the acid phase.</t>
  </si>
  <si>
    <t xml:space="preserve">S2-22</t>
  </si>
  <si>
    <t xml:space="preserve">Graham et al.</t>
  </si>
  <si>
    <t xml:space="preserve">Field Measurement of Fluorescent Dissolved Organic Material as a Means of Early Detection of Leachate Plumes</t>
  </si>
  <si>
    <t xml:space="preserve">10.1007/s11270-015-2475-6</t>
  </si>
  <si>
    <t xml:space="preserve">Fractured rock</t>
  </si>
  <si>
    <t xml:space="preserve">4, 9, 10</t>
  </si>
  <si>
    <t xml:space="preserve">In-situ FDOM detects leachate at up to 98% dilution where major ions show no impact above background; photodegradable fluorescent whitening agents confirm the leachate origin.</t>
  </si>
  <si>
    <t xml:space="preserve">S2-23</t>
  </si>
  <si>
    <t xml:space="preserve">He et al.</t>
  </si>
  <si>
    <t xml:space="preserve">Using fluorescence spectroscopy coupled with chemometric analysis to investigate the origin, composition, and dynamics of dissolved organic matter in leachate-polluted groundwater</t>
  </si>
  <si>
    <t xml:space="preserve">Environmental Science And Pollution Research</t>
  </si>
  <si>
    <t xml:space="preserve">10.1007/s11356-014-4029-7</t>
  </si>
  <si>
    <t xml:space="preserve">4, 7, 10</t>
  </si>
  <si>
    <t xml:space="preserve">EEM-PARAFAC with PCA separates upstream from downstream groundwater at a Beijing dumpsite; leachate raises the protein-like (microbial) DOM component.</t>
  </si>
  <si>
    <t xml:space="preserve">S2-24</t>
  </si>
  <si>
    <t xml:space="preserve">Markic et al.</t>
  </si>
  <si>
    <t xml:space="preserve">ASSESSMENT OF THE IMPACT OF BANJALUKA LANDFILL ON GROUNDWATER QUALITY</t>
  </si>
  <si>
    <t xml:space="preserve">Carpathian Journal Of Earth And Environmental Sciences</t>
  </si>
  <si>
    <t xml:space="preserve">Bosnia and Herzegovina</t>
  </si>
  <si>
    <t xml:space="preserve">Shallow (piezometers at 8 m)</t>
  </si>
  <si>
    <t xml:space="preserve">Banjaluka landfill: PCA of three piezometers and monthly leachate separates sites by pollution level; the piezometer outside the landfill influence clusters apart.</t>
  </si>
  <si>
    <t xml:space="preserve">S2-25</t>
  </si>
  <si>
    <t xml:space="preserve">Porowska</t>
  </si>
  <si>
    <t xml:space="preserve">Determination of the origin of dissolved inorganic carbon in groundwater around a reclaimed landfill in Otwock using stable carbon isotopes</t>
  </si>
  <si>
    <t xml:space="preserve">10.1016/j.wasman.2015.01.044</t>
  </si>
  <si>
    <t xml:space="preserve">Poland</t>
  </si>
  <si>
    <t xml:space="preserve">5, 9</t>
  </si>
  <si>
    <t xml:space="preserve">Keeling plot and two-component mixing separate DIC from aquifer organic matter and carbonate dissolution (background) from landfill organic-matter biodegradation (contaminated).</t>
  </si>
  <si>
    <t xml:space="preserve">S2-26</t>
  </si>
  <si>
    <t xml:space="preserve">Wijesekara et al.</t>
  </si>
  <si>
    <t xml:space="preserve">Leachate plume delineation and lithologic profiling using surface resistivity in an open municipal solid waste dumpsite, Sri Lanka</t>
  </si>
  <si>
    <t xml:space="preserve">10.1080/09593330.2014.963697</t>
  </si>
  <si>
    <t xml:space="preserve">Sri Lanka</t>
  </si>
  <si>
    <t xml:space="preserve">Shallow/perched over bedrock at 3–5 m</t>
  </si>
  <si>
    <t xml:space="preserve">10</t>
  </si>
  <si>
    <t xml:space="preserve">1D and 2D resistivity delineate the leachate plume and its flow toward the Mahaweli River; used to site permeable reactive barriers.</t>
  </si>
  <si>
    <t xml:space="preserve">S2-27</t>
  </si>
  <si>
    <t xml:space="preserve">He and Fan</t>
  </si>
  <si>
    <t xml:space="preserve">Investigating the effect of landfill leachates on the characteristics of dissolved organic matter in groundwater using excitation–emission matrix fluorescence spectra coupled with fluorescence regional integration and self-organizing map</t>
  </si>
  <si>
    <t xml:space="preserve">10.1007/s11356-016-7308-7</t>
  </si>
  <si>
    <t xml:space="preserve">EEM with fluorescence regional integration and SOM: groundwater in the landfill matches the leachate fluorescence; fulvic-like matter decreases and protein-like matter increases with leachate pollution.</t>
  </si>
  <si>
    <t xml:space="preserve">Same landfill as study S2-23</t>
  </si>
  <si>
    <t xml:space="preserve">S2-28</t>
  </si>
  <si>
    <t xml:space="preserve">Koda et al.</t>
  </si>
  <si>
    <t xml:space="preserve">Ammonium Concentration and Migration in Groundwater in the Vicinity of Waste Management Site Located in the Neighborhood of Protected Areas of Warsaw, Poland</t>
  </si>
  <si>
    <t xml:space="preserve">Sustainability</t>
  </si>
  <si>
    <t xml:space="preserve">10.3390/su8121253</t>
  </si>
  <si>
    <t xml:space="preserve">1, 3</t>
  </si>
  <si>
    <t xml:space="preserve">Radiowo landfill: ammonium in piezometers over two decades and the effect of a bentonite cut-off wall; neighbouring industrial and urban sources described as context only.</t>
  </si>
  <si>
    <t xml:space="preserve">S2-29</t>
  </si>
  <si>
    <t xml:space="preserve">Lu et al.</t>
  </si>
  <si>
    <t xml:space="preserve">Assessment of major ions and heavy metals in groundwater: a case study from Guangzhou and Zhuhai of the Pearl River Delta, China</t>
  </si>
  <si>
    <t xml:space="preserve">Frontiers Of Earth Science</t>
  </si>
  <si>
    <t xml:space="preserve">10.1007/s11707-015-0513-8</t>
  </si>
  <si>
    <t xml:space="preserve">Regional (Pearl River Delta; basement weathering, seawater mixing)</t>
  </si>
  <si>
    <t xml:space="preserve">Regional study attributing Pb, As and Mn to landfill leachate and Cd to leachate plus agriculture, alongside mining and industrial sources.</t>
  </si>
  <si>
    <t xml:space="preserve">S2-30</t>
  </si>
  <si>
    <t xml:space="preserve">Mangimbulude et al.</t>
  </si>
  <si>
    <t xml:space="preserve">Hydrochemical characterization of a tropical, coastal aquifer affected by landfill leachate and seawater intrusion</t>
  </si>
  <si>
    <t xml:space="preserve">Asian Journal Of Water Environment And Pollution</t>
  </si>
  <si>
    <t xml:space="preserve">10.3233/AJW-160038</t>
  </si>
  <si>
    <t xml:space="preserve">Indonesia</t>
  </si>
  <si>
    <t xml:space="preserve">Coastal aquifer (seawater intrusion)</t>
  </si>
  <si>
    <t xml:space="preserve">1, 2, 3, 4, 9</t>
  </si>
  <si>
    <t xml:space="preserve">Separates seawater intrusion from leachate influence using Cl/SO4 and a conservative Cl mixing fraction against reference wells; landfill signal carried by NH4, COD, HCO3, Fe2+.</t>
  </si>
  <si>
    <t xml:space="preserve">S2-31</t>
  </si>
  <si>
    <t xml:space="preserve">Assessment of a degree of geochemical maturation and activity of a closed landfill site in Poland</t>
  </si>
  <si>
    <t xml:space="preserve">10.1007/s12665-016-5256-7</t>
  </si>
  <si>
    <t xml:space="preserve">4, 5</t>
  </si>
  <si>
    <t xml:space="preserve">δ13C-DIC and BOD/COD of leachate-contaminated groundwater place the Otwock landfill between methanogenic and air-intrusion phases, still active 24 years after closure.</t>
  </si>
  <si>
    <t xml:space="preserve">Same landfill as study S2-25</t>
  </si>
  <si>
    <t xml:space="preserve">S2-32</t>
  </si>
  <si>
    <t xml:space="preserve">Sanci and Panarello</t>
  </si>
  <si>
    <t xml:space="preserve">Carbon stable isotopes as indicators of the origin and evolution of CO2 and CH4 in urban solid waste disposal sites and nearby areas</t>
  </si>
  <si>
    <t xml:space="preserve">10.1007/s12665-015-4906-5</t>
  </si>
  <si>
    <t xml:space="preserve">5, 6</t>
  </si>
  <si>
    <t xml:space="preserve">δ13C and δ2H of CH4 and CO2 in soil gas and groundwater: rising DIC and δ13C-DIC enrichment (up to +4‰) record methanogenic carbon transported into the aquifer.</t>
  </si>
  <si>
    <t xml:space="preserve">Same landfill as study S2-33</t>
  </si>
  <si>
    <t xml:space="preserve">S2-33</t>
  </si>
  <si>
    <t xml:space="preserve">Sanci et al.</t>
  </si>
  <si>
    <t xml:space="preserve">Hydrogeochemistry and stable isotopes of a solid waste disposal area from gualeguaychú, entreríos, Argentina</t>
  </si>
  <si>
    <t xml:space="preserve">10.5276/JSWTM.2016.71</t>
  </si>
  <si>
    <t xml:space="preserve">Unconfined aquifer (loess/alluvial plain)</t>
  </si>
  <si>
    <t xml:space="preserve">1, 5, 6, 9</t>
  </si>
  <si>
    <t xml:space="preserve">Geochemical mixing models of pristine water and leachate, with δ18O/δ2H, δ13C-DIC and δ13C-DOC, separate leachate from evaporation and marine ingression.</t>
  </si>
  <si>
    <t xml:space="preserve">S2-34</t>
  </si>
  <si>
    <t xml:space="preserve">De et al.</t>
  </si>
  <si>
    <t xml:space="preserve">Appraisal of seasonal variation of groundwater quality near an uncontrolled municipal solid waste landfill in Kolkata, India</t>
  </si>
  <si>
    <t xml:space="preserve">Global Nest Journal</t>
  </si>
  <si>
    <t xml:space="preserve">10.30955/gnj.002172</t>
  </si>
  <si>
    <t xml:space="preserve">India</t>
  </si>
  <si>
    <t xml:space="preserve">Dhapa landfill (Kolkata): HCA separates near-landfill samples from upstream samples in both seasons; Na–Cl facies closest to the site; reducing conditions near the landfill.</t>
  </si>
  <si>
    <t xml:space="preserve">S2-35</t>
  </si>
  <si>
    <t xml:space="preserve">Ling and Zhang</t>
  </si>
  <si>
    <t xml:space="preserve">Evaluation of surface water and groundwater contamination in a MSW landfill area using hydrochemical analysis and electrical resistivity tomography: a case study in Sichuan province, Southwest China</t>
  </si>
  <si>
    <t xml:space="preserve">10.1007/s10661-017-5832-7</t>
  </si>
  <si>
    <t xml:space="preserve">Loose valley sediments</t>
  </si>
  <si>
    <t xml:space="preserve">Leachate water pollution index against upstream background wells, with three ERT profiles and laboratory resistivity calibration; groundwater deteriorated up to 500 m downstream.</t>
  </si>
  <si>
    <t xml:space="preserve">S2-36</t>
  </si>
  <si>
    <t xml:space="preserve">Maurya et al.</t>
  </si>
  <si>
    <t xml:space="preserve">Detailed landfill leachate plume mapping using 2D and 3D electrical resistivity tomography - with correlation to ionic strength measured in screens</t>
  </si>
  <si>
    <t xml:space="preserve">Journal Of Applied Geophysics</t>
  </si>
  <si>
    <t xml:space="preserve">10.1016/j.jappgeo.2017.01.019</t>
  </si>
  <si>
    <t xml:space="preserve">2D and 3D ERT map the leachate plume of the unlined Grindsted landfill along and across the flow direction, correlated with ionic strength in well screens.</t>
  </si>
  <si>
    <t xml:space="preserve">S2-37</t>
  </si>
  <si>
    <t xml:space="preserve">Moreira et al.</t>
  </si>
  <si>
    <t xml:space="preserve">DC resistivity investigation in a fractured aquifer system contaminated by leachate from an old dump</t>
  </si>
  <si>
    <t xml:space="preserve">Geofisica Internacional</t>
  </si>
  <si>
    <t xml:space="preserve">Fractured granite</t>
  </si>
  <si>
    <t xml:space="preserve">1, 10</t>
  </si>
  <si>
    <t xml:space="preserve">2D and 3D DC resistivity integrated with groundwater chemistry map leachate in a fractured aquifer beneath a dump closed in 2004.</t>
  </si>
  <si>
    <t xml:space="preserve">S2-38</t>
  </si>
  <si>
    <t xml:space="preserve">Nigro et al.</t>
  </si>
  <si>
    <t xml:space="preserve">Application of boron and tritium isotopes for tracing landfill contamination in groundwater</t>
  </si>
  <si>
    <t xml:space="preserve">Journal Of Geochemical Exploration</t>
  </si>
  <si>
    <t xml:space="preserve">10.1016/j.gexplo.2016.10.011</t>
  </si>
  <si>
    <t xml:space="preserve">Italy</t>
  </si>
  <si>
    <t xml:space="preserve">Alluvial gravels</t>
  </si>
  <si>
    <t xml:space="preserve">1, 5</t>
  </si>
  <si>
    <t xml:space="preserve">Tritium, δ11B</t>
  </si>
  <si>
    <t xml:space="preserve">δ11B of 19.3‰ in uncontaminated vs 4.4–9.4‰ in contaminated groundwater; B–Cl correlation gives plume direction; tritium also separates the two.</t>
  </si>
  <si>
    <t xml:space="preserve">S2-39</t>
  </si>
  <si>
    <t xml:space="preserve">de Medeiros Engelmann et al.</t>
  </si>
  <si>
    <t xml:space="preserve">Environmental monitoring of water resources around a municipal landfill of the Rio Grande do Sul state, Brazil</t>
  </si>
  <si>
    <t xml:space="preserve">10.1007/s11356-017-9725-7</t>
  </si>
  <si>
    <t xml:space="preserve">1, 3, 7</t>
  </si>
  <si>
    <t xml:space="preserve">PCA/HCA on metals, anions and NH4 against three background points identify leakage at one piezometer (PZ3), marked by Cl, EC and alkali metals.</t>
  </si>
  <si>
    <t xml:space="preserve">S2-40</t>
  </si>
  <si>
    <t xml:space="preserve">Balbarini et al.</t>
  </si>
  <si>
    <t xml:space="preserve">Geophysics-Based Contaminant Mass Discharge Quantification Downgradient of a Landfill and a Former Pharmaceutical Factory</t>
  </si>
  <si>
    <t xml:space="preserve">10.1029/2017WR021855</t>
  </si>
  <si>
    <t xml:space="preserve">9, 10</t>
  </si>
  <si>
    <t xml:space="preserve">DC resistivity and induced polarization support contaminant mass discharge estimates of chloride and pharmaceuticals (sulfonamides, barbiturates) downgradient of a landfill and a former pharmaceutical factory.</t>
  </si>
  <si>
    <t xml:space="preserve">Same landfill as study S2-36</t>
  </si>
  <si>
    <t xml:space="preserve">S2-41</t>
  </si>
  <si>
    <t xml:space="preserve">Bugan et al.</t>
  </si>
  <si>
    <t xml:space="preserve">Pollution Plume Development in the Primary Aquifer at the Atlantis Historical Solid Waste Disposal Site, South Africa</t>
  </si>
  <si>
    <t xml:space="preserve">Geosciences</t>
  </si>
  <si>
    <t xml:space="preserve">10.3390/geosciences8070231</t>
  </si>
  <si>
    <t xml:space="preserve">South Africa</t>
  </si>
  <si>
    <t xml:space="preserve">Sub-Saharan Africa</t>
  </si>
  <si>
    <t xml:space="preserve">Unconfined sandy aquifer</t>
  </si>
  <si>
    <t xml:space="preserve">1</t>
  </si>
  <si>
    <t xml:space="preserve">Atlantis historical landfill: monitoring 1989 to 2017 shows the plume still active after three decades and moving slowly.</t>
  </si>
  <si>
    <t xml:space="preserve">S2-42</t>
  </si>
  <si>
    <t xml:space="preserve">Krčmar et al.</t>
  </si>
  <si>
    <t xml:space="preserve">Preremedial assessment of the municipal landfill pollution impact on soil and shallow groundwater in Subotica, Serbia</t>
  </si>
  <si>
    <t xml:space="preserve">Science Of The Total Environment</t>
  </si>
  <si>
    <t xml:space="preserve">10.1016/j.scitotenv.2017.09.283</t>
  </si>
  <si>
    <t xml:space="preserve">Serbia</t>
  </si>
  <si>
    <t xml:space="preserve">1, 4, 7</t>
  </si>
  <si>
    <t xml:space="preserve">Subotica landfill: landfill water pollution index 3.6 to 8.9, Nemerow index, PCA and factor analysis of groundwater and soil; PAH diagnostic ratios indicate pyrogenic soil contamination.</t>
  </si>
  <si>
    <t xml:space="preserve">S2-43</t>
  </si>
  <si>
    <t xml:space="preserve">Ojo-Awo et al.</t>
  </si>
  <si>
    <t xml:space="preserve">Refuse dumpsite and its associated pollutants: Spatial variations of the impact of leachates on groundwater quality</t>
  </si>
  <si>
    <t xml:space="preserve">Management Of Environmental Quality</t>
  </si>
  <si>
    <t xml:space="preserve">10.1108/MEQ-08-2017-0077</t>
  </si>
  <si>
    <t xml:space="preserve">Nigeria</t>
  </si>
  <si>
    <t xml:space="preserve">Upstream control, dump vicinity and downstream stations: significant spatial differences, leachate impact concentrated within 200 m of the dump.</t>
  </si>
  <si>
    <t xml:space="preserve">S2-44</t>
  </si>
  <si>
    <t xml:space="preserve">Ramaroson et al.</t>
  </si>
  <si>
    <t xml:space="preserve">Tritium as tracer of groundwater pollution extension: case study of Andralanitra landfill site, Antananarivo-Madagascar</t>
  </si>
  <si>
    <t xml:space="preserve">Applied Water Science</t>
  </si>
  <si>
    <t xml:space="preserve">10.1007/s13201-018-0695-9</t>
  </si>
  <si>
    <t xml:space="preserve">Madagascar</t>
  </si>
  <si>
    <t xml:space="preserve">Tritium of 22.8 and 10.4 TU only in two dug wells beside the Andralanitra landfill, natural values (0.2 to 1.4 TU) upstream and further downstream: sharp delineation of plume extent.</t>
  </si>
  <si>
    <t xml:space="preserve">S2-45</t>
  </si>
  <si>
    <t xml:space="preserve">Rana et al.</t>
  </si>
  <si>
    <t xml:space="preserve">Indexing method for assessment of pollution potential of leachate from non-engineered landfill sites and its effect on ground water quality</t>
  </si>
  <si>
    <t xml:space="preserve">10.1007/s10661-017-6417-1</t>
  </si>
  <si>
    <t xml:space="preserve">LPI of 26 to 28 at three non-engineered landfills (Chandigarh, Mohali, Panchkula) and WQI of groundwater at five distances from each site.</t>
  </si>
  <si>
    <t xml:space="preserve">S2-46</t>
  </si>
  <si>
    <t xml:space="preserve">Slavinskienė et al.</t>
  </si>
  <si>
    <t xml:space="preserve">Evolution of inorganic pollutants from landfills in shallow aquifers of different hydrogeological systems in Lithuania</t>
  </si>
  <si>
    <t xml:space="preserve">10.1007/s11356-018-3334-y</t>
  </si>
  <si>
    <t xml:space="preserve">Lithuania</t>
  </si>
  <si>
    <t xml:space="preserve">Three systems: open, semi-open, closed</t>
  </si>
  <si>
    <t xml:space="preserve">1, 7, 9</t>
  </si>
  <si>
    <t xml:space="preserve">HCA delineates hydrochemical zones in leachate-polluted groundwater at three closed unlined landfills; geochemical modelling shows process intensity depends on the hydrogeological system.</t>
  </si>
  <si>
    <t xml:space="preserve">S2-47</t>
  </si>
  <si>
    <t xml:space="preserve">Srivastava and Ramanathan</t>
  </si>
  <si>
    <t xml:space="preserve">Assessment of landfills vulnerability on the groundwater quality located near floodplain of the perennial river and simulation of contaminant transport</t>
  </si>
  <si>
    <t xml:space="preserve">Modeling Earth Systems And Environment</t>
  </si>
  <si>
    <t xml:space="preserve">10.1007/s40808-018-0464-7</t>
  </si>
  <si>
    <t xml:space="preserve">Floodplain alluvium</t>
  </si>
  <si>
    <t xml:space="preserve">1, 9</t>
  </si>
  <si>
    <t xml:space="preserve">Landfills on a river floodplain: water quality index, trace-metal transport modelled with MODFLOW and MT3D; charge balance within 5%.</t>
  </si>
  <si>
    <t xml:space="preserve">S2-48</t>
  </si>
  <si>
    <t xml:space="preserve">Determination of trigger levels for groundwater quality in landfills located in historically human-impacted areas</t>
  </si>
  <si>
    <t xml:space="preserve">10.1016/j.wasman.2018.01.043</t>
  </si>
  <si>
    <t xml:space="preserve">1, 3, 4, 7</t>
  </si>
  <si>
    <t xml:space="preserve">Cluster analysis derives landfill trigger levels in a historically contaminated area and shows the plume downstream of a lined landfill comes from an older upgradient unlined one.</t>
  </si>
  <si>
    <t xml:space="preserve">S2-49</t>
  </si>
  <si>
    <t xml:space="preserve">Environmental monitoring of a landfill area through the application of carbon stable isotopes, chemical parameters and multivariate analysis</t>
  </si>
  <si>
    <t xml:space="preserve">10.1016/j.wasman.2018.02.027</t>
  </si>
  <si>
    <t xml:space="preserve">1, 5, 7</t>
  </si>
  <si>
    <t xml:space="preserve">δ13C-DIC of +20‰ in leachate vs −15‰ upstream and +16‰ downstream, with multivariate analysis, identifies contamination at two sites.</t>
  </si>
  <si>
    <t xml:space="preserve">S2-50</t>
  </si>
  <si>
    <t xml:space="preserve">Alemayehu et al.</t>
  </si>
  <si>
    <t xml:space="preserve">Assessment of the impact of landfill leachate on groundwater and surrounding surface water: a case study of Mekelle city, Northern Ethiopia</t>
  </si>
  <si>
    <t xml:space="preserve">Sustainable Water Resources Management</t>
  </si>
  <si>
    <t xml:space="preserve">10.1007/s40899-019-00328-z</t>
  </si>
  <si>
    <t xml:space="preserve">Ethiopia</t>
  </si>
  <si>
    <t xml:space="preserve">Carbonate (limestone and shale with evaporite layers)</t>
  </si>
  <si>
    <t xml:space="preserve">Separates geogenic from landfill sources on carbonate and evaporite geology: NO3, Cl and COD distinguish leachate from natural variation and serve as indicators.</t>
  </si>
  <si>
    <t xml:space="preserve">S2-51</t>
  </si>
  <si>
    <t xml:space="preserve">Banch et al.</t>
  </si>
  <si>
    <t xml:space="preserve">Statistical evaluation of landfill leachate system and its impact on groundwater and surface water in Malaysia</t>
  </si>
  <si>
    <t xml:space="preserve">Sains Malaysiana</t>
  </si>
  <si>
    <t xml:space="preserve">10.17576/jsm-2019-4811-10</t>
  </si>
  <si>
    <t xml:space="preserve">Cluster analysis groups groundwater with the aeration and stabilisation ponds of a closed landfill, separate from the collection pond and surface water.</t>
  </si>
  <si>
    <t xml:space="preserve">S2-52</t>
  </si>
  <si>
    <t xml:space="preserve">Boateng et al.</t>
  </si>
  <si>
    <t xml:space="preserve">Heavy metal contamination assessment of groundwater quality: a case study of Oti landfill site, Kumasi</t>
  </si>
  <si>
    <t xml:space="preserve">10.1007/s13201-019-0915-y</t>
  </si>
  <si>
    <t xml:space="preserve">Ghana</t>
  </si>
  <si>
    <t xml:space="preserve">PCA separates lithogenic from anthropogenic (leachate) sources of heavy metals in boreholes and wells near the Oti landfill.</t>
  </si>
  <si>
    <t xml:space="preserve">S2-53</t>
  </si>
  <si>
    <t xml:space="preserve">Hepburn et al.</t>
  </si>
  <si>
    <t xml:space="preserve">Contamination of groundwater with per- and polyfluoroalkyl substances (PFAS) from legacy landfills in an urban re-development precinct</t>
  </si>
  <si>
    <t xml:space="preserve">Environmental Pollution</t>
  </si>
  <si>
    <t xml:space="preserve">10.1016/j.envpol.2019.02.018</t>
  </si>
  <si>
    <t xml:space="preserve">PFAS (26 to 5,200 ng/L) in groundwater within and below legacy landfills against an ambient background site, in an urban area with industrial point sources.</t>
  </si>
  <si>
    <t xml:space="preserve">S2-54</t>
  </si>
  <si>
    <t xml:space="preserve">Jiang et al.</t>
  </si>
  <si>
    <t xml:space="preserve">Migration and evolution of dissolved organic matter in landfill leachate-contaminated groundwater plume</t>
  </si>
  <si>
    <t xml:space="preserve">Resources Conservation And Recycling</t>
  </si>
  <si>
    <t xml:space="preserve">10.1016/j.resconrec.2019.104463</t>
  </si>
  <si>
    <t xml:space="preserve">First water-table aquifer (16 m)</t>
  </si>
  <si>
    <t xml:space="preserve">UV-vis, EEM-PARAFAC and PCA track DOM evolution along the plume; downstream DOM becomes higher molecular weight and less humified; pumping extends migration.</t>
  </si>
  <si>
    <t xml:space="preserve">S2-55</t>
  </si>
  <si>
    <t xml:space="preserve">Kapelewska et al.</t>
  </si>
  <si>
    <t xml:space="preserve">Water pollution indicators and chemometric expertise for the assessment of the impact of municipal solid waste landfills on groundwater located in their area</t>
  </si>
  <si>
    <t xml:space="preserve">Chemical Engineering Journal</t>
  </si>
  <si>
    <t xml:space="preserve">10.1016/j.cej.2018.11.137</t>
  </si>
  <si>
    <t xml:space="preserve">Shallow groundwater (≤9 m)</t>
  </si>
  <si>
    <t xml:space="preserve">Landfill water pollution index, Nemerow index and PCA at two landfills: inflow vs outflow piezometers show impact strongest at the unlined closed landfill.</t>
  </si>
  <si>
    <t xml:space="preserve">S2-56</t>
  </si>
  <si>
    <t xml:space="preserve">Kumari et al.</t>
  </si>
  <si>
    <t xml:space="preserve">Application of Principal Component Analysis and Correlation for Assessing Groundwater Contamination in and around Municipal Solid Waste Landfill of Ghazipur, Delhi</t>
  </si>
  <si>
    <t xml:space="preserve">Journal Of The Geological Society Of India</t>
  </si>
  <si>
    <t xml:space="preserve">10.1007/s12594-019-1366-7</t>
  </si>
  <si>
    <t xml:space="preserve">Younger alluvium</t>
  </si>
  <si>
    <t xml:space="preserve">PCA (three factors, 75–80% of variance) plus concentrations declining with distance along flow identify the Ghazipur landfill as the point source.</t>
  </si>
  <si>
    <t xml:space="preserve">S2-57</t>
  </si>
  <si>
    <t xml:space="preserve">Nyika and Onyari</t>
  </si>
  <si>
    <t xml:space="preserve">Hydrogeochemical Analysis and Spatial Distribution of Groundwater Quality in Roundhill Landfill Vicinity of South Africa</t>
  </si>
  <si>
    <t xml:space="preserve">Air Soil And Water Research</t>
  </si>
  <si>
    <t xml:space="preserve">10.1177/1178622119872771</t>
  </si>
  <si>
    <t xml:space="preserve">Roundhill landfill: three boreholes, Durov diagram and spatial distribution; Fe, Mn and NH4 exceed standards, highest at BH1.</t>
  </si>
  <si>
    <t xml:space="preserve">Same landfill as study S2-124</t>
  </si>
  <si>
    <t xml:space="preserve">S2-58</t>
  </si>
  <si>
    <t xml:space="preserve">Onyekwelu and Aghamelu</t>
  </si>
  <si>
    <t xml:space="preserve">Impact of organic contaminants from dumpsite leachates on natural water sources in the Enugu Metropolis, southeastern Nigeria</t>
  </si>
  <si>
    <t xml:space="preserve">10.1007/s10661-019-7719-2</t>
  </si>
  <si>
    <t xml:space="preserve">Semi-unconfined (weathered, fractured shale)</t>
  </si>
  <si>
    <t xml:space="preserve">Leachate organic contaminants (phthalates, organic halogens, nonylphenol ethoxylate) traced into hand-dug wells up and down the flow gradient and into rivers; PCA and correlation analysis.</t>
  </si>
  <si>
    <t xml:space="preserve">S2-59</t>
  </si>
  <si>
    <t xml:space="preserve">Preziosi et al.</t>
  </si>
  <si>
    <t xml:space="preserve">Disentangling natural and anthropogenic impacts on groundwater by hydrogeochemical, isotopic and microbiological data: Hints from a municipal solid waste landfill</t>
  </si>
  <si>
    <t xml:space="preserve">10.1016/j.wasman.2018.12.005</t>
  </si>
  <si>
    <t xml:space="preserve">1, 6, 10</t>
  </si>
  <si>
    <t xml:space="preserve">Hydrogeochemical, isotopic and microbiological data show that high As, Mn and Fe near a landfill come from the natural reducing environment, while faecal and organic inputs enter through a specific recharge path.</t>
  </si>
  <si>
    <t xml:space="preserve">S2-60</t>
  </si>
  <si>
    <t xml:space="preserve">Landfill leachate quantity and attenuation distance of inorganic contaminants in the groundwater of different hydrogeological systems: A case study of Lithuania</t>
  </si>
  <si>
    <t xml:space="preserve">Baltica</t>
  </si>
  <si>
    <t xml:space="preserve">10.5200/baltica.2019.2.1</t>
  </si>
  <si>
    <t xml:space="preserve">1, 3, 7, 9</t>
  </si>
  <si>
    <t xml:space="preserve">About 2,000 groundwater samples: attenuation distances and degradation coefficients of NH4, K and Fe depend on waste volume and hydrogeological system; single-factor index against background values.</t>
  </si>
  <si>
    <t xml:space="preserve">S2-61</t>
  </si>
  <si>
    <t xml:space="preserve">Identification of groundwater pollution sources in a landfill site using artificial sweeteners, multivariate analysis and transport modeling</t>
  </si>
  <si>
    <t xml:space="preserve">10.1016/j.wasman.2019.06.010</t>
  </si>
  <si>
    <t xml:space="preserve">1, 3, 7, 9, 10</t>
  </si>
  <si>
    <t xml:space="preserve">Artificial sweeteners (ACE, SUC, SAC, CYC) with cluster/factor analysis and particle tracking separate an old unlined landfill, a newer lined MSW landfill and sewage effluent as sources.</t>
  </si>
  <si>
    <t xml:space="preserve">Same landfill as study S2-48</t>
  </si>
  <si>
    <t xml:space="preserve">S2-62</t>
  </si>
  <si>
    <t xml:space="preserve">Vahabian et al.</t>
  </si>
  <si>
    <t xml:space="preserve">Assessment of landfill leachate in semi-arid climate and its impact on the groundwater quality case study: Hamedan, Iran</t>
  </si>
  <si>
    <t xml:space="preserve">10.1007/s10661-019-7215-8</t>
  </si>
  <si>
    <t xml:space="preserve">Iran</t>
  </si>
  <si>
    <t xml:space="preserve">Shallow alluvial plain aquifer (semi-arid)</t>
  </si>
  <si>
    <t xml:space="preserve">PCA plus a factorial design (leachate age × distance from source) used to isolate the landfill contribution to groundwater contamination.</t>
  </si>
  <si>
    <t xml:space="preserve">S2-63</t>
  </si>
  <si>
    <t xml:space="preserve">Aharoni et al.</t>
  </si>
  <si>
    <t xml:space="preserve">Holistic approach for evaluation of landfill leachate pollution potential – From the waste to the aquifer</t>
  </si>
  <si>
    <t xml:space="preserve">10.1016/j.scitotenv.2020.140367</t>
  </si>
  <si>
    <t xml:space="preserve">Israel</t>
  </si>
  <si>
    <t xml:space="preserve">Sandy coastal-plain aquifer</t>
  </si>
  <si>
    <t xml:space="preserve">1, 2, 3, 7, 9</t>
  </si>
  <si>
    <t xml:space="preserve">Vadose-zone monitoring plus wells: bromide from decomposing waste traces leachate; DOC normalised to Br shows over 90% degradation beyond dilution in the plume.</t>
  </si>
  <si>
    <t xml:space="preserve">S2-64</t>
  </si>
  <si>
    <t xml:space="preserve">Al-Yaqout and Hamoda</t>
  </si>
  <si>
    <t xml:space="preserve">Long-term Temporal Variations in Characteristics of Leachates from a Closed Landfill in an Arid Region</t>
  </si>
  <si>
    <t xml:space="preserve">Water Air And Soil Pollution</t>
  </si>
  <si>
    <t xml:space="preserve">10.1007/s11270-020-04688-7</t>
  </si>
  <si>
    <t xml:space="preserve">Kuwait</t>
  </si>
  <si>
    <t xml:space="preserve">Shallow coastal (1.5 km from the Gulf)</t>
  </si>
  <si>
    <t xml:space="preserve">Closed unlined landfill still methanogenic after 35 years (BOD/COD 0.04); groundwater heavily polluted by COD and NH4.</t>
  </si>
  <si>
    <t xml:space="preserve">S2-65</t>
  </si>
  <si>
    <t xml:space="preserve">Baghanam et al.</t>
  </si>
  <si>
    <t xml:space="preserve">Spatiotemporal variation of water pollution near landfill site: Application of clustering methods to assess the admissibility of LWPI</t>
  </si>
  <si>
    <t xml:space="preserve">Journal Of Hydrology</t>
  </si>
  <si>
    <t xml:space="preserve">10.1016/j.jhydrol.2020.125581</t>
  </si>
  <si>
    <t xml:space="preserve">Semi-arid</t>
  </si>
  <si>
    <t xml:space="preserve">Landfill water pollution index compared with PCA and SOM clustering; inflow control points vs outflow show leachate penetration into surface and groundwater.</t>
  </si>
  <si>
    <t xml:space="preserve">S2-66</t>
  </si>
  <si>
    <t xml:space="preserve">Dullius et al.</t>
  </si>
  <si>
    <t xml:space="preserve">An assessment of landfill leachate influences on water quality in the Boi Piguá river basin (Paraná, Brazil) using the TXRF technique</t>
  </si>
  <si>
    <t xml:space="preserve">10.1007/s12665-020-8834-7</t>
  </si>
  <si>
    <t xml:space="preserve">TXRF elemental data with cluster analysis and PCA: river and water-table samples cluster with the leachate compositions of the new and old landfill areas.</t>
  </si>
  <si>
    <t xml:space="preserve">S2-67</t>
  </si>
  <si>
    <t xml:space="preserve">Helene et al.</t>
  </si>
  <si>
    <t xml:space="preserve">Identification of leachate infiltration and its flow pathway in landfill by means of electrical resistivity tomography (ERT)</t>
  </si>
  <si>
    <t xml:space="preserve">10.1007/s10661-020-8206-5</t>
  </si>
  <si>
    <t xml:space="preserve">Twelve ERT lines over three years distinguish leachate percolation zones from the natural environment beneath a closed cell with geomembrane failures.</t>
  </si>
  <si>
    <t xml:space="preserve">S2-68</t>
  </si>
  <si>
    <t xml:space="preserve">Koliyabandara et al.</t>
  </si>
  <si>
    <t xml:space="preserve">Assessment of the impact of an open dumpsite on the surface water quality deterioration in Karadiyana, Sri Lanka</t>
  </si>
  <si>
    <t xml:space="preserve">Environmental Nanotechnology, Monitoring and Management</t>
  </si>
  <si>
    <t xml:space="preserve">10.1016/j.enmm.2020.100371</t>
  </si>
  <si>
    <t xml:space="preserve">Karadiyana dumpsite: stream and two groundwater wells, PCA, ANOVA and comprehensive pollution index; wells high in nitrate, ammonia and Fe.</t>
  </si>
  <si>
    <t xml:space="preserve">Same landfill as study S2-86</t>
  </si>
  <si>
    <t xml:space="preserve">S2-69</t>
  </si>
  <si>
    <t xml:space="preserve">Lee et al.</t>
  </si>
  <si>
    <t xml:space="preserve">Application of stable isotopes and dissolved ions for monitoring landfill leachate contamination</t>
  </si>
  <si>
    <t xml:space="preserve">Environmental Geochemistry And Health</t>
  </si>
  <si>
    <t xml:space="preserve">10.1007/s10653-019-00427-y</t>
  </si>
  <si>
    <t xml:space="preserve">South Korea</t>
  </si>
  <si>
    <t xml:space="preserve">Fractured volcanic (andesite, rhyolite); unlined valley landfill</t>
  </si>
  <si>
    <t xml:space="preserve">1, 3, 5, 6</t>
  </si>
  <si>
    <t xml:space="preserve">Leachate δD and δ13C-DIC strongly enriched by methanogenesis; δD enrichment in nearby groundwater traces the leachate plume.</t>
  </si>
  <si>
    <t xml:space="preserve">S2-70</t>
  </si>
  <si>
    <t xml:space="preserve">Najafi Saleh et al.</t>
  </si>
  <si>
    <t xml:space="preserve">Assessment of groundwater quality around municipal solid waste landfill by using Water Quality Index for groundwater resources and multivariate statistical technique: a case study of the landfill site, Qaem Shahr City, Iran</t>
  </si>
  <si>
    <t xml:space="preserve">10.1007/s10653-019-00417-0</t>
  </si>
  <si>
    <t xml:space="preserve">WQI for groundwater with kriging around the Qaem Shahr landfill; deterioration attributed jointly to leachate, agriculture and fertiliser.</t>
  </si>
  <si>
    <t xml:space="preserve">S2-71</t>
  </si>
  <si>
    <t xml:space="preserve">Abiriga et al.</t>
  </si>
  <si>
    <t xml:space="preserve">Long-term redox conditions in a landfill-leachate-contaminated groundwater</t>
  </si>
  <si>
    <t xml:space="preserve">10.1016/j.scitotenv.2020.143725</t>
  </si>
  <si>
    <t xml:space="preserve">Confined glaciofluvial delta aquifer</t>
  </si>
  <si>
    <t xml:space="preserve">Three decades of data: redox zonation from sulfate-reducing to aerobic with distance, against a background well; S and Fe cycling truncated, N, Mn and C recycled.</t>
  </si>
  <si>
    <t xml:space="preserve">S2-72</t>
  </si>
  <si>
    <t xml:space="preserve">Amano et al.</t>
  </si>
  <si>
    <t xml:space="preserve">Effect of waste landfill site on surface and ground water drinking quality</t>
  </si>
  <si>
    <t xml:space="preserve">Water and Environment Journal</t>
  </si>
  <si>
    <t xml:space="preserve">10.1111/wej.12664</t>
  </si>
  <si>
    <t xml:space="preserve">Kumasi landfill: WQI, heavy-metal pollution and evaluation indices and PCA for wells, boreholes and streams within 1.34 km.</t>
  </si>
  <si>
    <t xml:space="preserve">Same landfill as study S2-52</t>
  </si>
  <si>
    <t xml:space="preserve">S2-73</t>
  </si>
  <si>
    <t xml:space="preserve">Andrei et al.</t>
  </si>
  <si>
    <t xml:space="preserve">Application of 2H and 18O Isotopes for Tracing Municipal Solid Waste Landfill Contamination of Groundwater: Two Italian Case Histories</t>
  </si>
  <si>
    <t xml:space="preserve">Water</t>
  </si>
  <si>
    <t xml:space="preserve">10.3390/w13081065</t>
  </si>
  <si>
    <t xml:space="preserve">Two sites (Sardinia, Umbria)</t>
  </si>
  <si>
    <t xml:space="preserve">δ2H enrichment from methanogenesis in wells near leachate storage at two MSW landfills; δ2H correlates with Fe, Mn and Ni.</t>
  </si>
  <si>
    <t xml:space="preserve">S2-74</t>
  </si>
  <si>
    <t xml:space="preserve">Karkocha</t>
  </si>
  <si>
    <t xml:space="preserve">ASSESSMENT OF CHANGES IN THE QUALITY OF GROUNDWATER IN THE REGION OF THE MUNICIPAL LANDFILL IN WOJKOWICE</t>
  </si>
  <si>
    <t xml:space="preserve">Acta Scientiarum Polonorum-Formatio Circumiectus</t>
  </si>
  <si>
    <t xml:space="preserve">Wojkowice landfill: Backman and water pollution indices calculated against natural hydrochemical background values.</t>
  </si>
  <si>
    <t xml:space="preserve">S2-75</t>
  </si>
  <si>
    <t xml:space="preserve">Ma et al.</t>
  </si>
  <si>
    <t xml:space="preserve">Molecular structure and evolution characteristics of dissolved organic matter in groundwater near landfill: Implications of the identification of leachate leakage</t>
  </si>
  <si>
    <t xml:space="preserve">Science of the Total Environment</t>
  </si>
  <si>
    <t xml:space="preserve">10.1016/j.scitotenv.2021.147649</t>
  </si>
  <si>
    <t xml:space="preserve">Multiple (12 landfills)</t>
  </si>
  <si>
    <t xml:space="preserve">EEM fluorescence at 12 landfills: a peak at Ex 240–260/Em 440–460 nm absent in uncontaminated groundwater identifies leachate leakage; interpretable fluorescence method proposed.</t>
  </si>
  <si>
    <t xml:space="preserve">S2-76</t>
  </si>
  <si>
    <t xml:space="preserve">Continuous monitoring of dissolved inorganic nitrogen (DIN) transformations along the waste-vadose zone - groundwater path of an uncontrolled landfill, using multiple N-species isotopic analysis</t>
  </si>
  <si>
    <t xml:space="preserve">10.1016/j.watres.2022.118508</t>
  </si>
  <si>
    <t xml:space="preserve">Multi-species nitrogen isotopes along the waste, unsaturated zone and observation wells show the local leachate contribution to groundwater nitrate (up to 54 mg/L NO3-N against a background of 0.4 to 2.7).</t>
  </si>
  <si>
    <t xml:space="preserve">Same landfill as study S2-63</t>
  </si>
  <si>
    <t xml:space="preserve">S2-77</t>
  </si>
  <si>
    <t xml:space="preserve">Benaddi et al.</t>
  </si>
  <si>
    <t xml:space="preserve">Impact of Landfill Leachate on Groundwater Quality – A Comparison Between Three Different Landfills in Morocco</t>
  </si>
  <si>
    <t xml:space="preserve">Journal Of Ecological Engineering</t>
  </si>
  <si>
    <t xml:space="preserve">10.12911/22998993/153006</t>
  </si>
  <si>
    <t xml:space="preserve">Leachate from three Marrakech landfills (rural/urban, young/old) and downstream wells: well quality ranges medium to poor according to landfill type.</t>
  </si>
  <si>
    <t xml:space="preserve">S2-78</t>
  </si>
  <si>
    <t xml:space="preserve">Butt et al.</t>
  </si>
  <si>
    <t xml:space="preserve">Geophysical and Geochemical Characterization of Solidwaste Dumpsite: A Case Study of Chowa Gujar, Peshawar (Part of Indus Basin)</t>
  </si>
  <si>
    <t xml:space="preserve">Sustainability (Switzerland)</t>
  </si>
  <si>
    <t xml:space="preserve">10.3390/su14031443</t>
  </si>
  <si>
    <t xml:space="preserve">Pakistan</t>
  </si>
  <si>
    <t xml:space="preserve">ERT and GPR delineate buried waste and a leachate plume reaching 8–14 m depth toward agricultural land and the water table.</t>
  </si>
  <si>
    <t xml:space="preserve">S2-79</t>
  </si>
  <si>
    <t xml:space="preserve">El Fadili et al.</t>
  </si>
  <si>
    <t xml:space="preserve">A comprehensive health risk assessment and groundwater quality for irrigation and drinking purposes around municipal solid waste sanitary landfill: A case study in Morocco</t>
  </si>
  <si>
    <t xml:space="preserve">Environmental Nanotechnology, Monitoring &amp; Management</t>
  </si>
  <si>
    <t xml:space="preserve">10.1016/j.enmm.2022.100698</t>
  </si>
  <si>
    <t xml:space="preserve">Oum Azza landfill (Rabat region): LPI 29.1, WQI, Nemerow and irrigation indices, with PCA/HCA attributing groundwater deterioration around the landfill.</t>
  </si>
  <si>
    <t xml:space="preserve">S2-80</t>
  </si>
  <si>
    <t xml:space="preserve">Jakóbczyk-Karpierz and Ślósarczyk</t>
  </si>
  <si>
    <t xml:space="preserve">Isotopic signature of anthropogenic sources of groundwater contamination with sulfate and its application to groundwater in a heavily urbanized and industrialized area (Upper Silesia, Poland)</t>
  </si>
  <si>
    <t xml:space="preserve">Journal of Hydrology</t>
  </si>
  <si>
    <t xml:space="preserve">10.1016/j.jhydrol.2022.128255</t>
  </si>
  <si>
    <t xml:space="preserve">Triassic carbonate aquifer</t>
  </si>
  <si>
    <t xml:space="preserve">δ34S and δ18O of sulfate</t>
  </si>
  <si>
    <t xml:space="preserve">δ34S/δ18O-SO4 signatures of anthropogenic sulfate sources (fertiliser, wastewater, mine water, landfill leachate, waste dumps) applied to groundwater; raw landfill leachate contained no sulfate because of strongly reducing conditions.</t>
  </si>
  <si>
    <t xml:space="preserve">S2-81</t>
  </si>
  <si>
    <t xml:space="preserve">Identifying and Monitoring the Landfill Leachate Contamination in Groundwater with SEC-DAD-FLD-OCD and a Portable Fluorescence Spectrometer</t>
  </si>
  <si>
    <t xml:space="preserve">Acs Es&amp;T Water</t>
  </si>
  <si>
    <t xml:space="preserve">10.1021/acsestwater.1c00305</t>
  </si>
  <si>
    <t xml:space="preserve">Multiple (24 landfills)</t>
  </si>
  <si>
    <t xml:space="preserve">A leachate-specific humic-like fluorophore (Ex 250/310/365, Em 460 nm) is proposed as an intrinsic tracer; PCA separates contaminated from uncontaminated groundwater; 50 QSU threshold.</t>
  </si>
  <si>
    <t xml:space="preserve">S2-82</t>
  </si>
  <si>
    <t xml:space="preserve">Characterization of landfill leachate at the Karadiyana open dumpsite, Sri Lanka, and assessment of water pollution in its vicinity</t>
  </si>
  <si>
    <t xml:space="preserve">Journal Of The National Science Foundation Of Sri Lanka</t>
  </si>
  <si>
    <t xml:space="preserve">10.4038/jnsfsr.v50i1.10338</t>
  </si>
  <si>
    <t xml:space="preserve">Karadiyana: LPI 34; EEM fluorescence peaks in dug wells match leachate protein-like fractions, identifying contamination of drinking wells.</t>
  </si>
  <si>
    <t xml:space="preserve">S2-83</t>
  </si>
  <si>
    <t xml:space="preserve">Precipitation Method for Determination of Carbon and Oxygen Isotopes to Detect Groundwater Contamination Near a Municipal Landfill</t>
  </si>
  <si>
    <t xml:space="preserve">Periodica Polytechnica Chemical Engineering</t>
  </si>
  <si>
    <t xml:space="preserve">10.3311/PPch.20266</t>
  </si>
  <si>
    <t xml:space="preserve">δ13C-DIC and δ18O of precipitated carbonate separate a natural groundwater zone from a leachate-contaminated zone at Otwock.</t>
  </si>
  <si>
    <t xml:space="preserve">S2-84</t>
  </si>
  <si>
    <t xml:space="preserve">Raco and Battaglini</t>
  </si>
  <si>
    <t xml:space="preserve">Tritium as a tool to assess leachate contamination: An example from Conversano landfill (Southern Italy)</t>
  </si>
  <si>
    <t xml:space="preserve">10.1016/j.gexplo.2021.106939</t>
  </si>
  <si>
    <t xml:space="preserve">Deep karst (179–462 m), marine intrusion</t>
  </si>
  <si>
    <t xml:space="preserve">1, 2, 5, 6</t>
  </si>
  <si>
    <t xml:space="preserve">Statistically defined tritium background thresholds identify leachate dispersion in a karst aquifer also affected by seawater intrusion and agriculture; tritium called the leachate tracer par excellence.</t>
  </si>
  <si>
    <t xml:space="preserve">S2-85</t>
  </si>
  <si>
    <t xml:space="preserve">Rashid et al.</t>
  </si>
  <si>
    <t xml:space="preserve">Physicochemical Characterization and Evaluation of Seasonal Variations of Landfill Leachate and Groundwater Quality around Tanjaro Open Dump Area of Sulaymaniyah City, Kurdistan, Iraq</t>
  </si>
  <si>
    <t xml:space="preserve">Journal Of Chemistry</t>
  </si>
  <si>
    <t xml:space="preserve">10.1155/2022/8574935</t>
  </si>
  <si>
    <t xml:space="preserve">Seasonal leachate characterisation at the Tanjaro dumpsite (Sulaymaniyah) with three tube wells; groundwater not severely affected; correlation used descriptively.</t>
  </si>
  <si>
    <t xml:space="preserve">S2-86</t>
  </si>
  <si>
    <t xml:space="preserve">Wijewardhana et al.</t>
  </si>
  <si>
    <t xml:space="preserve">Evaluation of the effect of landfill leachate on surface and groundwater quality: a case study in tropical Sri Lanka using the evidence of stable isotopes</t>
  </si>
  <si>
    <t xml:space="preserve">10.1007/s10661-022-10282-7</t>
  </si>
  <si>
    <t xml:space="preserve">1, 3, 4, 5, 6</t>
  </si>
  <si>
    <t xml:space="preserve">δ2H enrichment near the dumpsite marks leachate; δ15N/δ18O-NO3 point to manure, septic and sewage sources; parameters correlate with distance (δ2H r² = 0.9).</t>
  </si>
  <si>
    <t xml:space="preserve">S2-87</t>
  </si>
  <si>
    <t xml:space="preserve">Alao et al.</t>
  </si>
  <si>
    <t xml:space="preserve">Geophysical and hydrochemical assessment of the risk posed by open dumpsite at Kaduna Central Market, Nigeria</t>
  </si>
  <si>
    <t xml:space="preserve">10.1007/s40899-023-00948-6</t>
  </si>
  <si>
    <t xml:space="preserve">Weathered/fractured basement</t>
  </si>
  <si>
    <t xml:space="preserve">VES resistivity within and off the dumpsite shows low-resistivity plume in overburden and weathered zone; bedrock unaffected. Heavy metals in hand-dug wells.</t>
  </si>
  <si>
    <t xml:space="preserve">S2-88</t>
  </si>
  <si>
    <t xml:space="preserve">Effects of dumpsite leachate plumes on surface and groundwater and the possible public health risks</t>
  </si>
  <si>
    <t xml:space="preserve">10.1016/j.scitotenv.2023.165469</t>
  </si>
  <si>
    <t xml:space="preserve">Resistivity and hydrochemistry at six dumpsites: low-resistivity overburden and heavy metals in drinking water; questionnaire survey on health.</t>
  </si>
  <si>
    <t xml:space="preserve">S2-89</t>
  </si>
  <si>
    <t xml:space="preserve">Evaluation of Groundwater contamination and the Health Risk Due to Landfills using integrated geophysical methods and Physiochemical Water Analysis</t>
  </si>
  <si>
    <t xml:space="preserve">Case Studies in Chemical and Environmental Engineering</t>
  </si>
  <si>
    <t xml:space="preserve">10.1016/j.cscee.2023.100523</t>
  </si>
  <si>
    <t xml:space="preserve">Crystalline basement</t>
  </si>
  <si>
    <t xml:space="preserve">ERT and EM-VLF map conductive leachate zones (&lt;9 Ωm, 0–10.5 m depth) against off-dumpsite values of 111–413 Ωm; wells, boreholes and streams analysed.</t>
  </si>
  <si>
    <t xml:space="preserve">S2-90</t>
  </si>
  <si>
    <t xml:space="preserve">Investigation of groundwater vulnerability to open dumpsites and its potential risk using electrical resistivity and water analysis</t>
  </si>
  <si>
    <t xml:space="preserve">Heliyon</t>
  </si>
  <si>
    <t xml:space="preserve">10.1016/j.heliyon.2023.e13265</t>
  </si>
  <si>
    <t xml:space="preserve">29 VES in and around a Kaduna dumpsite with 17 off-dumpsite control stations: 2.4–17 Ωm within vs 68–611 Ωm outside; seven hand-dug wells analysed.</t>
  </si>
  <si>
    <t xml:space="preserve">S2-91</t>
  </si>
  <si>
    <t xml:space="preserve">Aryampa et al.</t>
  </si>
  <si>
    <t xml:space="preserve">The Impact of Waste Disposal Sites on the Local Water Resources: A Case Study of the Kiteezi landfill, Uganda</t>
  </si>
  <si>
    <t xml:space="preserve">Ecohydrology &amp; Hydrobiology</t>
  </si>
  <si>
    <t xml:space="preserve">10.1016/j.ecohyd.2022.12.002</t>
  </si>
  <si>
    <t xml:space="preserve">Uganda</t>
  </si>
  <si>
    <t xml:space="preserve">Kiteezi sanitary landfill: leachate treatment ineffective; leachate, surface water and groundwater exceed national standards.</t>
  </si>
  <si>
    <t xml:space="preserve">S2-92</t>
  </si>
  <si>
    <t xml:space="preserve">Cerar et al.</t>
  </si>
  <si>
    <t xml:space="preserve">Impact assessment of the Gajke and Brstje landfills on groundwater status using stable and radioactive isotopes</t>
  </si>
  <si>
    <t xml:space="preserve">Geologija</t>
  </si>
  <si>
    <t xml:space="preserve">10.5474/geologija.2023.014</t>
  </si>
  <si>
    <t xml:space="preserve">Slovenia</t>
  </si>
  <si>
    <t xml:space="preserve">Gravel (former gravel pit)</t>
  </si>
  <si>
    <t xml:space="preserve">δ18O, δ2H, δ13C-DIC, tritium and alkalinity at two landfills: high tritium and δ13C-DIC in leachate mark the plume; tritium the most reliable predictor.</t>
  </si>
  <si>
    <t xml:space="preserve">S2-93</t>
  </si>
  <si>
    <t xml:space="preserve">Gupta and Janardhana Raju</t>
  </si>
  <si>
    <t xml:space="preserve">Potential environmental pollution study by leachate generation and health risk assessment in the vicinity of bandhwari landfill disposal site, National Capital Region, India</t>
  </si>
  <si>
    <t xml:space="preserve">Groundwater For Sustainable Development</t>
  </si>
  <si>
    <t xml:space="preserve">10.1016/j.gsd.2023.101032</t>
  </si>
  <si>
    <t xml:space="preserve">1, 2, 5, 7</t>
  </si>
  <si>
    <t xml:space="preserve">Cl/Br ratios, tritium, HCA and LPI at the Bandhwari landfill: leachate influence strongest near the site and moving in all directions.</t>
  </si>
  <si>
    <t xml:space="preserve">Same landfill as study S2-102</t>
  </si>
  <si>
    <t xml:space="preserve">S2-94</t>
  </si>
  <si>
    <t xml:space="preserve">Hua et al.</t>
  </si>
  <si>
    <t xml:space="preserve">Multizone Aquatic Ecological Exposures to Landfill Contaminants from a Groundwater Plume Discharging to a Pond</t>
  </si>
  <si>
    <t xml:space="preserve">Environmental Toxicology And Chemistry</t>
  </si>
  <si>
    <t xml:space="preserve">10.1002/etc.5650</t>
  </si>
  <si>
    <t xml:space="preserve">Canada</t>
  </si>
  <si>
    <t xml:space="preserve">1, 3, 10</t>
  </si>
  <si>
    <t xml:space="preserve">Saccharin, ammonium, chloride and conductance trace a historic landfill plume upwelling into a pond against derived background values; exposure extends over a quarter to half of the pond.</t>
  </si>
  <si>
    <t xml:space="preserve">S2-95</t>
  </si>
  <si>
    <t xml:space="preserve">Liu et al.</t>
  </si>
  <si>
    <t xml:space="preserve">Groundwater sulfate in the Pearl River Delta driven by urbanization: Spatial distribution, sources and factors</t>
  </si>
  <si>
    <t xml:space="preserve">Applied Geochemistry</t>
  </si>
  <si>
    <t xml:space="preserve">10.1016/j.apgeochem.2023.105766</t>
  </si>
  <si>
    <t xml:space="preserve">Regional (coastal alluvial, alluvial-proluvial, fissured, karst)</t>
  </si>
  <si>
    <t xml:space="preserve">Sulfate-rich groundwater in the Pearl River Delta traced to urbanisation factors; nine landfill leachates sampled show low SO4 (median 11 mg/L), so leachate is not the sulfate source.</t>
  </si>
  <si>
    <t xml:space="preserve">S2-96</t>
  </si>
  <si>
    <t xml:space="preserve">Nguyen and Huynh</t>
  </si>
  <si>
    <t xml:space="preserve">Seasonal Variations in Groundwater Quality under Different Impacts Using Statistical Approaches</t>
  </si>
  <si>
    <t xml:space="preserve">Civil Engineering Journal-Tehran</t>
  </si>
  <si>
    <t xml:space="preserve">10.28991/CEJ-2023-09-03-01</t>
  </si>
  <si>
    <t xml:space="preserve">Vietnam</t>
  </si>
  <si>
    <t xml:space="preserve">Coastal (Mekong Delta)</t>
  </si>
  <si>
    <t xml:space="preserve">PCA and cluster analysis identify six sources in coastal groundwater, among them landfill leachate (coliforms near the landfill), saltwater intrusion, wastewater and agriculture.</t>
  </si>
  <si>
    <t xml:space="preserve">S2-97</t>
  </si>
  <si>
    <t xml:space="preserve">Obiri-Nyarko et al.</t>
  </si>
  <si>
    <t xml:space="preserve">Characterization of leachate, groundwater quality analysis, and evaluation of hydrogeochemical processes at the Kpone engineered landfill site, Ghana</t>
  </si>
  <si>
    <t xml:space="preserve">10.1007/s40899-022-00794-y</t>
  </si>
  <si>
    <t xml:space="preserve">Ionic ratios, CAI and PHREEQC separate silicate weathering and base exchange from leachate mixing; MW2 and MW3 affected, MW1 least affected.</t>
  </si>
  <si>
    <t xml:space="preserve">S2-98</t>
  </si>
  <si>
    <t xml:space="preserve">Sankoh et al.</t>
  </si>
  <si>
    <t xml:space="preserve">Application of stable isotope of water and a Bayesian isotope mixing model (SIMMR) in groundwater studies: a case study of the Granvillebrook and Kingtom dumpsites</t>
  </si>
  <si>
    <t xml:space="preserve">10.1007/s10661-023-11138-4</t>
  </si>
  <si>
    <t xml:space="preserve">Sierra Leone</t>
  </si>
  <si>
    <t xml:space="preserve">1, 6, 9</t>
  </si>
  <si>
    <t xml:space="preserve">δ18O/δ2H with a Bayesian mixing model (SIMMR) apportions groundwater sources among rain, surface water, domestic wastewater and leachate at two dumpsites.</t>
  </si>
  <si>
    <t xml:space="preserve">S2-99</t>
  </si>
  <si>
    <t xml:space="preserve">Sappa et al.</t>
  </si>
  <si>
    <t xml:space="preserve">Isotope-Based Early-Warning Model for Monitoring Groundwater-Leachate Contamination Phenomena: First Quantitative Assessments</t>
  </si>
  <si>
    <t xml:space="preserve">10.3390/w15142646</t>
  </si>
  <si>
    <t xml:space="preserve">6, 9</t>
  </si>
  <si>
    <t xml:space="preserve">A δ2H and deuterium-excess model gives early warning of mixing between leachate and groundwater; leachate and drainage sampled.</t>
  </si>
  <si>
    <t xml:space="preserve">S2-100</t>
  </si>
  <si>
    <t xml:space="preserve">Stevenazzi et al.</t>
  </si>
  <si>
    <t xml:space="preserve">Geochemical and Isotopic Evidence for Investigating the Impacts of Landfills on Groundwater: A Case Study in the Campania Region (Southern Italy)</t>
  </si>
  <si>
    <t xml:space="preserve">10.3390/su152215822</t>
  </si>
  <si>
    <t xml:space="preserve">Volcanic (Phlegrean Fields)</t>
  </si>
  <si>
    <t xml:space="preserve">Isotopes and chemistry separate geogenic enrichment (As, F from hydrothermal upwelling) from landfill influence; localised Mn attributed to a possible leakage, not to natural processes alone.</t>
  </si>
  <si>
    <t xml:space="preserve">S2-101</t>
  </si>
  <si>
    <t xml:space="preserve">Xiao et al.</t>
  </si>
  <si>
    <t xml:space="preserve">Response of bacterial communities and function to dissolved organic matters in groundwater contaminated by landfill leachate</t>
  </si>
  <si>
    <t xml:space="preserve">10.1007/s11356-022-22841-z</t>
  </si>
  <si>
    <t xml:space="preserve">Unconfined aquifer</t>
  </si>
  <si>
    <t xml:space="preserve">DOM fluorescence and bacterial communities against an uncontaminated aquifer: humic-like components migrate downstream and leachate leakage shifts the community to anaerobic taxa; RDA links fulvic-like DOM to community change.</t>
  </si>
  <si>
    <t xml:space="preserve">S2-102</t>
  </si>
  <si>
    <t xml:space="preserve">Yadav et al.</t>
  </si>
  <si>
    <t xml:space="preserve">Assessment of groundwater quality near municipal solid waste landfill by using multivariate statistical technique and GIS: a case study of Bandhwari (Gurugram) landfill site, Haryana, India</t>
  </si>
  <si>
    <t xml:space="preserve">10.1007/s40899-023-00964-6</t>
  </si>
  <si>
    <t xml:space="preserve">WQI, PCA and HCA around the Bandhwari landfill; nitrate, sulfate, chloride and COD attributed to leachate on the basis of exceedances.</t>
  </si>
  <si>
    <t xml:space="preserve">S2-103</t>
  </si>
  <si>
    <t xml:space="preserve">Alam et al.</t>
  </si>
  <si>
    <t xml:space="preserve">Identification of prevalent leachate percolation of municipal solid waste landfill: a case study in India</t>
  </si>
  <si>
    <t xml:space="preserve">Scientific Reports</t>
  </si>
  <si>
    <t xml:space="preserve">10.1038/s41598-024-58693-5</t>
  </si>
  <si>
    <t xml:space="preserve">Ghazipur landfill: leachate and groundwater with IDW and WQI; contamination decreases with distance from the site; waste temperature profiles also reported.</t>
  </si>
  <si>
    <t xml:space="preserve">Same landfill as study S2-56</t>
  </si>
  <si>
    <t xml:space="preserve">S2-104</t>
  </si>
  <si>
    <t xml:space="preserve">Beneduce et al.</t>
  </si>
  <si>
    <t xml:space="preserve">Microbial, chemical, and isotopic monitoring integrated approach to assess potential leachate contamination of groundwater in a karstic aquifer (Apulia, Italy)</t>
  </si>
  <si>
    <t xml:space="preserve">10.1007/s10661-024-12477-6</t>
  </si>
  <si>
    <t xml:space="preserve">Karstic coastal carbonate aquifer</t>
  </si>
  <si>
    <t xml:space="preserve">1, 3, 5, 6, 10</t>
  </si>
  <si>
    <t xml:space="preserve">δ13C, Tritium, δ15N and δ18O of nitrate</t>
  </si>
  <si>
    <t xml:space="preserve">Microbial (PCR-ARISA), chemical and isotopic data (δ18O, δ2H, 3H, δ13C, δ15N/δ18O-NO3) show no measurable leachate influence; variability explained by fertilisers and seawater intrusion.</t>
  </si>
  <si>
    <t xml:space="preserve">S2-105</t>
  </si>
  <si>
    <t xml:space="preserve">Gani et al.</t>
  </si>
  <si>
    <t xml:space="preserve">Analysing Heavy Metal Contamination in Groundwater in the Vicinity of Mumbai’s Landfill Sites: An In-depth Study</t>
  </si>
  <si>
    <t xml:space="preserve">Topics in Catalysis</t>
  </si>
  <si>
    <t xml:space="preserve">10.1007/s11244-024-01955-3</t>
  </si>
  <si>
    <t xml:space="preserve">Three Mumbai landfills (Deonar, Mulund, Malad): LPI and heavy metals in leachate and groundwater; Deonar the most polluted.</t>
  </si>
  <si>
    <t xml:space="preserve">S2-106</t>
  </si>
  <si>
    <t xml:space="preserve">Haritwal et al.</t>
  </si>
  <si>
    <t xml:space="preserve">Advanced characterisation of groundwater contamination at a dumpsite: Methodology and assessment - Case study of a municipal solid waste dumpsite in India</t>
  </si>
  <si>
    <t xml:space="preserve">10.1016/j.scitotenv.2024.177642</t>
  </si>
  <si>
    <t xml:space="preserve">1, 7, 10</t>
  </si>
  <si>
    <t xml:space="preserve">Cone penetration and hydraulic profiling guide depth-discrete groundwater sampling beneath an operational dumpsite; EC, TDS, Na, Cl dominate PCA; microplastics detected.</t>
  </si>
  <si>
    <t xml:space="preserve">S2-107</t>
  </si>
  <si>
    <t xml:space="preserve">Huang et al.</t>
  </si>
  <si>
    <t xml:space="preserve">Assessing the impacts and contamination potentials of landfill leachate on adjacent groundwater systems</t>
  </si>
  <si>
    <t xml:space="preserve">10.1016/j.scitotenv.2024.172664</t>
  </si>
  <si>
    <t xml:space="preserve">Multiple (62 landfills)</t>
  </si>
  <si>
    <t xml:space="preserve">Leachate and groundwater at 62 landfills in Anhui: pollutants vary with landfill age and scale, and the influence of leachate on groundwater is limited.</t>
  </si>
  <si>
    <t xml:space="preserve">S2-108</t>
  </si>
  <si>
    <t xml:space="preserve">Jolaosho</t>
  </si>
  <si>
    <t xml:space="preserve">Characterization of potentially toxic elements in leachates from active and closed landfills in Nigeria and their effects on groundwater systems using spatial, indexical, chemometric and health risk techniques</t>
  </si>
  <si>
    <t xml:space="preserve">Chemosphere</t>
  </si>
  <si>
    <t xml:space="preserve">10.1016/j.chemosphere.2024.143678</t>
  </si>
  <si>
    <t xml:space="preserve">Multilayered sedimentary (Dahomey basin)</t>
  </si>
  <si>
    <t xml:space="preserve">Three Solous landfills: contamination indices and geospatial maps show impact within about 100 m, with wells at 200–500 m largely unaffected.</t>
  </si>
  <si>
    <t xml:space="preserve">S2-109</t>
  </si>
  <si>
    <t xml:space="preserve">Mashaqbeh et al.</t>
  </si>
  <si>
    <t xml:space="preserve">Integration of Geophysical and Hydrochemical Methods to Determine the Groundwater Contamination in Al-Hosayniat Landfill South East Mafraq City, Jordan</t>
  </si>
  <si>
    <t xml:space="preserve">Iraqi Geological Journal</t>
  </si>
  <si>
    <t xml:space="preserve">10.46717/igj.57.2A.19ms-2024-7-29</t>
  </si>
  <si>
    <t xml:space="preserve">Jordan</t>
  </si>
  <si>
    <t xml:space="preserve">Deep aquifer (to 240 m), fault-controlled</t>
  </si>
  <si>
    <t xml:space="preserve">TDEM and VLF inside and outside the Al-Hosayniat landfill reveal a NW–SE fault beneath it and low-resistivity anomalies at 60–70 and 120–140 m suggesting a plume along the fault.</t>
  </si>
  <si>
    <t xml:space="preserve">S2-110</t>
  </si>
  <si>
    <t xml:space="preserve">Soares et al.</t>
  </si>
  <si>
    <t xml:space="preserve">Comprehensive Assessment of the Relationship between Metal Contamination Distribution and Human Health Risk: Case Study of Groundwater in Marituba Landfill, Pará, Brazil</t>
  </si>
  <si>
    <t xml:space="preserve">Water (Switzerland)</t>
  </si>
  <si>
    <t xml:space="preserve">10.3390/w16152146</t>
  </si>
  <si>
    <t xml:space="preserve">Marituba landfill: groundwater within potability standards except Al; PCA separates natural and anthropogenic metal sources; GWQI excellent.</t>
  </si>
  <si>
    <t xml:space="preserve">S2-111</t>
  </si>
  <si>
    <t xml:space="preserve">Wang et al.</t>
  </si>
  <si>
    <t xml:space="preserve">Molecular Response of Dissolved Organic Matter in Aquifer to Landfill Leachate Leakage</t>
  </si>
  <si>
    <t xml:space="preserve">ACS ES and T Water</t>
  </si>
  <si>
    <t xml:space="preserve">10.1021/acsestwater.4c00233</t>
  </si>
  <si>
    <t xml:space="preserve">4, 10</t>
  </si>
  <si>
    <t xml:space="preserve">Leachate leakage raises DOM humification and unsaturation; characteristic fluorophores (Ex 250/310/365, Em 460 nm) mark contaminated groundwater; FT-ICR-MS identifies the responsible molecules.</t>
  </si>
  <si>
    <t xml:space="preserve">S2-112</t>
  </si>
  <si>
    <t xml:space="preserve">Yang et al.</t>
  </si>
  <si>
    <t xml:space="preserve">Precise management and control around the landfill integrating artificial intelligence and groundwater pollution risks</t>
  </si>
  <si>
    <t xml:space="preserve">10.1016/j.chemosphere.2024.143185</t>
  </si>
  <si>
    <t xml:space="preserve">Alluvial plain and hills</t>
  </si>
  <si>
    <t xml:space="preserve">1, 7, 8</t>
  </si>
  <si>
    <t xml:space="preserve">LPI, PCA-APCS-MLR and PMF resolve six sources; PC1 is a mixed leachate–agriculture–natural source; SOM-Kmeans zones groundwater for management.</t>
  </si>
  <si>
    <t xml:space="preserve">S2-113</t>
  </si>
  <si>
    <t xml:space="preserve">Zhan et al.</t>
  </si>
  <si>
    <t xml:space="preserve">Using a combination of δ13CDIC-DOC-difference in dissolved inorganic and organic carbon, δ2H, and δ18O to localize leachate leaks at landfill sites in China</t>
  </si>
  <si>
    <t xml:space="preserve">10.1016/j.scitotenv.2024.173654</t>
  </si>
  <si>
    <t xml:space="preserve">Multiple sites (valley-type landfill and others)</t>
  </si>
  <si>
    <t xml:space="preserve">5, 6, 7</t>
  </si>
  <si>
    <t xml:space="preserve">A δ2H against δ13C(DIC-DOC) plot and RDA trace leachate leak points; waters near leak points show a specific isotopic composition.</t>
  </si>
  <si>
    <t xml:space="preserve">S2-114</t>
  </si>
  <si>
    <t xml:space="preserve">Del Rey et al.</t>
  </si>
  <si>
    <t xml:space="preserve">Carbon isotopic and geochemical insights into groundwater contamination by landfill leachate</t>
  </si>
  <si>
    <t xml:space="preserve">10.1016/j.ecohyd.2025.100682</t>
  </si>
  <si>
    <t xml:space="preserve">Unconfined (oxisol) over confined aquifer</t>
  </si>
  <si>
    <t xml:space="preserve">1, 3, 5, 9</t>
  </si>
  <si>
    <t xml:space="preserve">δ13C-DIC gives about 48% leachate-derived carbon in the shallow aquifer; the confined aquifer resembles background; Cl, Na, Fe²⁺ and N species confirm.</t>
  </si>
  <si>
    <t xml:space="preserve">S2-115</t>
  </si>
  <si>
    <t xml:space="preserve">Edet et al.</t>
  </si>
  <si>
    <t xml:space="preserve">Assessment of surface water and groundwater quality and their associated human health risks around dumpsites, Cross River State, Southern Nigeria</t>
  </si>
  <si>
    <t xml:space="preserve">10.1007/s12665-025-12186-4</t>
  </si>
  <si>
    <t xml:space="preserve">Four Cross River State cities: groundwater, surface water, leachate and rainwater with multivariate statistics, geochemical modelling, rare-earth elements and pollution indices.</t>
  </si>
  <si>
    <t xml:space="preserve">S2-116</t>
  </si>
  <si>
    <t xml:space="preserve">Fida et al.</t>
  </si>
  <si>
    <t xml:space="preserve">Groundwater nitrate contamination around a municipal landfill: hydrogeochemical insights, source identification, and health risk assessment</t>
  </si>
  <si>
    <t xml:space="preserve">10.1007/s10653-025-02564-z</t>
  </si>
  <si>
    <t xml:space="preserve">Phreatic aquifer</t>
  </si>
  <si>
    <t xml:space="preserve">1, 3, 7, 8</t>
  </si>
  <si>
    <t xml:space="preserve">PCA–APCS-MLR apportions nitrate: 40% domestic sewage, 8% industrial/agricultural; the landfill is not the primary contributor. Probabilistic background of 1.11 mg/L NO3-N.</t>
  </si>
  <si>
    <t xml:space="preserve">S2-117</t>
  </si>
  <si>
    <t xml:space="preserve">Integrated quantitative tracing for Karst groundwater contamination: A case study of landfill in Zunyi, Guizhou Province, China</t>
  </si>
  <si>
    <t xml:space="preserve">10.1016/j.envpol.2025.125731</t>
  </si>
  <si>
    <t xml:space="preserve">Karst</t>
  </si>
  <si>
    <t xml:space="preserve">1, 3, 5, 8</t>
  </si>
  <si>
    <t xml:space="preserve">Major and trace elements, nitrate dual isotopes and PMF on long-term monitoring apportion karst groundwater pollution: leachate 64.6%, domestic sewage 19.0%, water–rock interaction 16.4%.</t>
  </si>
  <si>
    <t xml:space="preserve">S2-118</t>
  </si>
  <si>
    <t xml:space="preserve">Joseph et al.</t>
  </si>
  <si>
    <t xml:space="preserve">Assessing the Impact of Brahmapuram Landfill, Kochi, Kerala, India, on Groundwater Quality: A Physicochemical, Correlation, and Statistical Analysis Using WQI</t>
  </si>
  <si>
    <t xml:space="preserve">10.1021/acsestwater.5c00470</t>
  </si>
  <si>
    <t xml:space="preserve">WQI and spatial maps around the Brahmapuram landfill; hardness and acidity near the landfill attributed to leachate infiltration; TH–SO4 correlation r = 0.83.</t>
  </si>
  <si>
    <t xml:space="preserve">S2-119</t>
  </si>
  <si>
    <t xml:space="preserve">Determination of leachate leakage around a valley type landfill and its pollution and risk on groundwater</t>
  </si>
  <si>
    <t xml:space="preserve">10.1038/s41598-025-94518-9</t>
  </si>
  <si>
    <t xml:space="preserve">Quartz sandstone (valley-type landfill)</t>
  </si>
  <si>
    <t xml:space="preserve">1, 9, 10</t>
  </si>
  <si>
    <t xml:space="preserve">Transient electromagnetics locate four liner leakage areas, confirmed by groundwater chemistry against an upstream background well; transport modelling of the plume.</t>
  </si>
  <si>
    <t xml:space="preserve">S2-120</t>
  </si>
  <si>
    <t xml:space="preserve">Mahmood et al.</t>
  </si>
  <si>
    <t xml:space="preserve">An Analysis of Environmental Effects of Kirkuk Landfill's Leachate on Groundwater Pollution</t>
  </si>
  <si>
    <t xml:space="preserve">International Journal of Environmental Impacts</t>
  </si>
  <si>
    <t xml:space="preserve">10.18280/ijei.080204</t>
  </si>
  <si>
    <t xml:space="preserve">LPI 25–41 and WQI at seven sites from the Kirkuk landfill cell to the nearest residential area: groundwater affected up to 1.3 km, residential wells unaffected.</t>
  </si>
  <si>
    <t xml:space="preserve">S2-121</t>
  </si>
  <si>
    <t xml:space="preserve">Peng et al.</t>
  </si>
  <si>
    <t xml:space="preserve">Time-space patterns of groundwater contamination in a closed MSW landfill: Insights from long-term monitoring and SOM-based clustering analysis</t>
  </si>
  <si>
    <t xml:space="preserve">10.1016/j.envpol.2025.126659</t>
  </si>
  <si>
    <t xml:space="preserve">Valley with fault structures</t>
  </si>
  <si>
    <t xml:space="preserve">Self-organising maps on 1.5 years of monitoring at 33 boreholes identify contamination patterns tied to localised leakage and fault structures at a closed MSW landfill.</t>
  </si>
  <si>
    <t xml:space="preserve">S2-122</t>
  </si>
  <si>
    <t xml:space="preserve">Przydatek</t>
  </si>
  <si>
    <t xml:space="preserve">Assessment of the impact of a non-operational municipal landfill site on groundwater quality: a case study from southwestern Poland</t>
  </si>
  <si>
    <t xml:space="preserve">10.1007/s10661-025-14280-3</t>
  </si>
  <si>
    <t xml:space="preserve">Shallow groundwater (piezometers)</t>
  </si>
  <si>
    <t xml:space="preserve">Inflow vs outflow piezometers at a landfill closed 20 years: HCO3 (to 1291 mg/L), NH4, TIC, E. coli and luminescence inhibition show continuing impact downgradient.</t>
  </si>
  <si>
    <t xml:space="preserve">S2-123</t>
  </si>
  <si>
    <t xml:space="preserve">Using a Bayesian isotope mixing model to assess nitrate sources in groundwater: A case study of Granvillebrook and Kingtom dumpsites, Sierra Leone</t>
  </si>
  <si>
    <t xml:space="preserve">Journal Of African Earth Sciences</t>
  </si>
  <si>
    <t xml:space="preserve">10.1016/j.jafrearsci.2025.105585</t>
  </si>
  <si>
    <t xml:space="preserve">Fractured gabbro (Freetown Peninsula Complex)</t>
  </si>
  <si>
    <t xml:space="preserve">3, 5, 9</t>
  </si>
  <si>
    <t xml:space="preserve">Nitrate dual isotopes with locally measured end-members in a Bayesian mixing model (SIMMR); adding dissolved oxygen separates manure/leachate from domestic wastewater. Granvillebrook: manure/leachate 61%; Kingtom: domestic wastewater 55%.</t>
  </si>
  <si>
    <t xml:space="preserve">Same landfill as study S2-98</t>
  </si>
  <si>
    <t xml:space="preserve">S2-124</t>
  </si>
  <si>
    <t xml:space="preserve">Silwani et al.</t>
  </si>
  <si>
    <t xml:space="preserve">Assessment of Groundwater Quality, Heavy Metal Contamination, and Human Health Risks in Roundhill Municipal Landfill, Eastern Cape, South Africa</t>
  </si>
  <si>
    <t xml:space="preserve">Journal of Environmental Health and Sustainable Development</t>
  </si>
  <si>
    <t xml:space="preserve">10.18502/jehsd.v10i2.19010</t>
  </si>
  <si>
    <t xml:space="preserve">Roundhill landfill: LPI 31.2, WQI, PCA; contamination concentrated in the two boreholes nearest the landfill.</t>
  </si>
  <si>
    <t xml:space="preserve">S2-125</t>
  </si>
  <si>
    <t xml:space="preserve">Identification and assessment of groundwater pollution from landfill leachate based on geophysical, spectroscopy, and hydrogeochemical methods</t>
  </si>
  <si>
    <t xml:space="preserve">10.1038/s41598-025-11189-2</t>
  </si>
  <si>
    <t xml:space="preserve">1, 4, 5, 9, 10</t>
  </si>
  <si>
    <t xml:space="preserve">High-density resistivity, δ13C, DOM spectroscopy and a hydrochemical forward model: within 100 m downstream, leachate contributes over 50% of groundwater major ions.</t>
  </si>
  <si>
    <t xml:space="preserve">S2-126</t>
  </si>
  <si>
    <t xml:space="preserve">Wen et al.</t>
  </si>
  <si>
    <t xml:space="preserve">Age and hydrogeological conditions of landfill site control groundwater pollution in landfill site</t>
  </si>
  <si>
    <t xml:space="preserve">10.1016/j.wasman.2025.115171</t>
  </si>
  <si>
    <t xml:space="preserve">Multiple (128 landfills, province scale)</t>
  </si>
  <si>
    <t xml:space="preserve">Leachate and groundwater at 128 landfills: PCA source analysis and Piper/Gibbs show pollutant composition changes with landfill age and hydrogeology; LPI &gt; 5 at 80% of sites.</t>
  </si>
  <si>
    <t xml:space="preserve">S2-127</t>
  </si>
  <si>
    <t xml:space="preserve">Wu et al.</t>
  </si>
  <si>
    <t xml:space="preserve">Using apparent isotope enrichment factor to mitigate disturbances in isotopic fractionation analysis and leakage tracing by background groundwater at landfill sites across different regions</t>
  </si>
  <si>
    <t xml:space="preserve">10.1016/j.envpol.2025.126742</t>
  </si>
  <si>
    <t xml:space="preserve">Two sites (Sichuan, Hebei)</t>
  </si>
  <si>
    <t xml:space="preserve">5, 6, 7, 9</t>
  </si>
  <si>
    <t xml:space="preserve">An apparent isotope enrichment factor (εa) removes the influence of local background water, allowing δ2H and δ13C DIC–DOC data from different sites to be pooled to locate leak points (RDA + kernel density).</t>
  </si>
  <si>
    <t xml:space="preserve">S2-128</t>
  </si>
  <si>
    <t xml:space="preserve">Mixture effects on the tracing significance of carbon and hydrogen isotopes for identifying leaking points at landfills: Insights from theoretical analysis and field investigation</t>
  </si>
  <si>
    <t xml:space="preserve">10.1016/j.watres.2025.123828</t>
  </si>
  <si>
    <t xml:space="preserve">Faulted zone beside a lined landfill</t>
  </si>
  <si>
    <t xml:space="preserve">5, 6, 9</t>
  </si>
  <si>
    <t xml:space="preserve">Theory plus field test of carbon and hydrogen isotope mixing: the (ε13C DIC–DOC, εH) point of mixed water follows a predictable path from background, used to locate leak points in a lined landfill.</t>
  </si>
  <si>
    <t xml:space="preserve">S2-129</t>
  </si>
  <si>
    <t xml:space="preserve">Alimuddin et al.</t>
  </si>
  <si>
    <t xml:space="preserve">Integrated electrical resistivity imaging and groundwater quality assessment for environmental monitoring of shallow aquifers at the Cadika landfill, south Sulawesi, Indonesia</t>
  </si>
  <si>
    <t xml:space="preserve">Ecological Engineering and Environmental Technology</t>
  </si>
  <si>
    <t xml:space="preserve">10.12912/27197050/217792</t>
  </si>
  <si>
    <t xml:space="preserve">Tropical alluvial</t>
  </si>
  <si>
    <t xml:space="preserve">Seven ERI profiles (RMS 1.6–10.9%) map a &lt;10 Ωm plume toward rice fields and houses; wells at 25–50 m exceed COD standards, farther wells do not.</t>
  </si>
  <si>
    <t xml:space="preserve">S2-130</t>
  </si>
  <si>
    <t xml:space="preserve">Belmehdi et al.</t>
  </si>
  <si>
    <t xml:space="preserve">Impact of Leachate on the Quality of Groundwater From the Hassi Bounif Technical Landfill: A Pollution Diagnosis and Risk Assessment</t>
  </si>
  <si>
    <t xml:space="preserve">Water Environment Research</t>
  </si>
  <si>
    <t xml:space="preserve">10.1002/wer.70279</t>
  </si>
  <si>
    <t xml:space="preserve">Algeria</t>
  </si>
  <si>
    <t xml:space="preserve">Hassi Bounif landfill (Oran): leachate COD 28,653 mg/L, LPI, WQI and landfill water pollution index at four wells over two seasons.</t>
  </si>
  <si>
    <t xml:space="preserve">S2-131</t>
  </si>
  <si>
    <t xml:space="preserve">Lackey et al.</t>
  </si>
  <si>
    <t xml:space="preserve">Assessing multiple techniques for identifying various sources of chloride to urban groundwater and streams</t>
  </si>
  <si>
    <t xml:space="preserve">10.1007/s10661-026-14994-y</t>
  </si>
  <si>
    <t xml:space="preserve">Shallow and deeper urban groundwater</t>
  </si>
  <si>
    <t xml:space="preserve">1, 2, 6, 10</t>
  </si>
  <si>
    <t xml:space="preserve">Five techniques (Cl time series, Cl/Na, Cl/Br, water isotopes, artificial sweeteners) identify four chloride sources at an urban site: road salt, wastewater, landfill leachate and briny groundwater.</t>
  </si>
  <si>
    <t xml:space="preserve">S2-132</t>
  </si>
  <si>
    <t xml:space="preserve">Lahkim-Bennani et al.</t>
  </si>
  <si>
    <t xml:space="preserve">Hydrochemical Evolution of Groundwater Under Landfill Leachate Influence: Case of the Tangier Municipal Site</t>
  </si>
  <si>
    <t xml:space="preserve">10.3390/su18020965</t>
  </si>
  <si>
    <t xml:space="preserve">Other methods</t>
  </si>
  <si>
    <t xml:space="preserve">Tangier LRC: upgradient Ca–HCO3 waters vs mineralised Na–Cl wells; CCME-WQI and WAWQI; HCA separates background from impacted wells; P4 and P8 reported as hotspots.</t>
  </si>
  <si>
    <t xml:space="preserve">S2-133</t>
  </si>
  <si>
    <t xml:space="preserve">Occurrence characteristics and ecological risks of fluorescent whitening agents in water bodies around a landfill</t>
  </si>
  <si>
    <t xml:space="preserve">Journal Of Hazardous Materials</t>
  </si>
  <si>
    <t xml:space="preserve">10.1016/j.jhazmat.2025.140707</t>
  </si>
  <si>
    <t xml:space="preserve">Valley-type landfill</t>
  </si>
  <si>
    <t xml:space="preserve">Fluorescent whitening agents decline along the groundwater flow direction against a control well; an indicator of landfill impact on nearby water is proposed.</t>
  </si>
  <si>
    <t xml:space="preserve">Table S3. Reports excluded after assessment of the full text, with reasons (n = 48)</t>
  </si>
  <si>
    <t xml:space="preserve">Ordered by reason category, then by year.</t>
  </si>
  <si>
    <t xml:space="preserve">Reason category</t>
  </si>
  <si>
    <t xml:space="preserve">Specific reason</t>
  </si>
  <si>
    <t xml:space="preserve">S3-1</t>
  </si>
  <si>
    <t xml:space="preserve">Lotram et al.</t>
  </si>
  <si>
    <t xml:space="preserve">Contributions of the physico-chemical waste characterization for the study of the transfer of pollutants from a former urban landfill</t>
  </si>
  <si>
    <t xml:space="preserve">Techniques - Sciences - Methodes</t>
  </si>
  <si>
    <t xml:space="preserve">10.1051/tsm/201110062</t>
  </si>
  <si>
    <t xml:space="preserve">Full text not in English</t>
  </si>
  <si>
    <t xml:space="preserve">Full text in French</t>
  </si>
  <si>
    <t xml:space="preserve">S3-2</t>
  </si>
  <si>
    <t xml:space="preserve">Azari et al.</t>
  </si>
  <si>
    <t xml:space="preserve">Influence of the Babolsar landfill leachate on groundwater quality</t>
  </si>
  <si>
    <t xml:space="preserve">Kharazmi Journal of Earth Sciences</t>
  </si>
  <si>
    <t xml:space="preserve">10.22034/KJES.2023.9.1.106451</t>
  </si>
  <si>
    <t xml:space="preserve">Full text in Persian</t>
  </si>
  <si>
    <t xml:space="preserve">S3-3</t>
  </si>
  <si>
    <t xml:space="preserve">Cholcheh et al.</t>
  </si>
  <si>
    <t xml:space="preserve">Assessment of landfill and municipal wastewater impact on groundwater in the aquifer of Hamzeh city, northeast of Dezful, using the self-organizing map method</t>
  </si>
  <si>
    <t xml:space="preserve">10.22034/KJES.2025.11.2.108241</t>
  </si>
  <si>
    <t xml:space="preserve">S3-4</t>
  </si>
  <si>
    <t xml:space="preserve">Katz et al.</t>
  </si>
  <si>
    <t xml:space="preserve">Using Cl/Br ratios and other indicators to assess potential impacts on groundwater quality from septic systems: A review and examples from principal aquifers in the United States</t>
  </si>
  <si>
    <t xml:space="preserve">10.1016/j.jhydrol.2010.11.017</t>
  </si>
  <si>
    <t xml:space="preserve">Secondary literature (review)</t>
  </si>
  <si>
    <t xml:space="preserve">S3-5</t>
  </si>
  <si>
    <t xml:space="preserve">A review of groundwater contamination near municipal solid waste landfill sites in China</t>
  </si>
  <si>
    <t xml:space="preserve">10.1016/j.scitotenv.2016.06.201</t>
  </si>
  <si>
    <t xml:space="preserve">S3-6</t>
  </si>
  <si>
    <t xml:space="preserve">A review on the application of isotopic techniques to trace groundwater pollution sources within developing countries</t>
  </si>
  <si>
    <t xml:space="preserve">10.3390/w14010035</t>
  </si>
  <si>
    <t xml:space="preserve">S3-7</t>
  </si>
  <si>
    <t xml:space="preserve">Gunarathne et al.</t>
  </si>
  <si>
    <t xml:space="preserve">Environmental pitfalls and associated human health risks and ecological impacts from landfill leachate contaminants: Current evidence, recommended interventions and future directions</t>
  </si>
  <si>
    <t xml:space="preserve">10.1016/j.scitotenv.2023.169026</t>
  </si>
  <si>
    <t xml:space="preserve">Secondary literature (review of leachate composition and risks)</t>
  </si>
  <si>
    <t xml:space="preserve">S3-8</t>
  </si>
  <si>
    <t xml:space="preserve">Carbon and Sulfur Isotope Methods for Tracing Groundwater Contamination: A Review of Sustainable Utilization in Reclaimed Municipal Landfill Areas</t>
  </si>
  <si>
    <t xml:space="preserve">10.3390/su16114507</t>
  </si>
  <si>
    <t xml:space="preserve">S3-9</t>
  </si>
  <si>
    <t xml:space="preserve">Oubeid et al.</t>
  </si>
  <si>
    <t xml:space="preserve">Global applications of stable isotopes for identifying nitrate pollution sources in groundwater: a comprehensive review</t>
  </si>
  <si>
    <t xml:space="preserve">Frontiers in Water</t>
  </si>
  <si>
    <t xml:space="preserve">10.3389/frwa.2025.1666498</t>
  </si>
  <si>
    <t xml:space="preserve">S3-10</t>
  </si>
  <si>
    <t xml:space="preserve">Ford et al.</t>
  </si>
  <si>
    <t xml:space="preserve">Delineating landfill leachate discharge to an arsenic contaminated waterway</t>
  </si>
  <si>
    <t xml:space="preserve">10.1016/j.chemosphere.2011.09.046</t>
  </si>
  <si>
    <t xml:space="preserve">Not a municipal solid waste landfill</t>
  </si>
  <si>
    <t xml:space="preserve">Not a municipal solid waste landfill (military-base solid waste, incinerator ash and munitions; Superfund site)</t>
  </si>
  <si>
    <t xml:space="preserve">S3-11</t>
  </si>
  <si>
    <t xml:space="preserve">Harte et al.</t>
  </si>
  <si>
    <t xml:space="preserve">Heterogeneous redox conditions, arsenic mobility, and groundwater flow in a fractured-rock aquifer near a waste repository site in New Hampshire, USA</t>
  </si>
  <si>
    <t xml:space="preserve">10.1007/s10040-012-0844-4</t>
  </si>
  <si>
    <t xml:space="preserve">Hazardous-waste Superfund site, not MSW landfill; arsenic mobility focus</t>
  </si>
  <si>
    <t xml:space="preserve">S3-12</t>
  </si>
  <si>
    <t xml:space="preserve">Kaown et al.</t>
  </si>
  <si>
    <t xml:space="preserve">Hydrogeochemical and microbial characteristics in aquifers contaminated with leachate from animal carcass disposal sites</t>
  </si>
  <si>
    <t xml:space="preserve">10.1007/s12665-014-3750-3</t>
  </si>
  <si>
    <t xml:space="preserve">Not MSW landfill leachate (animal carcass burial pits); microbial community focus</t>
  </si>
  <si>
    <t xml:space="preserve">S3-13</t>
  </si>
  <si>
    <t xml:space="preserve">Cendón et al.</t>
  </si>
  <si>
    <t xml:space="preserve">Identification of sources and processes in a low-level radioactive waste site adjacent to landfills: groundwater hydrogeochemistry and isotopes</t>
  </si>
  <si>
    <t xml:space="preserve">Australian Journal of Earth Sciences</t>
  </si>
  <si>
    <t xml:space="preserve">10.1080/08120099.2015.975155</t>
  </si>
  <si>
    <t xml:space="preserve">Primary site is a radioactive-waste burial ground; MSW leachate only a co-source</t>
  </si>
  <si>
    <t xml:space="preserve">S3-14</t>
  </si>
  <si>
    <t xml:space="preserve">Gautam and Kumar</t>
  </si>
  <si>
    <t xml:space="preserve">Characterisation of hazardous waste landfill leachate and its reliance on landfill age and seasonal variation: A statistical approach</t>
  </si>
  <si>
    <t xml:space="preserve">Journal of Environmental Chemical Engineering</t>
  </si>
  <si>
    <t xml:space="preserve">10.1016/j.jece.2021.105496</t>
  </si>
  <si>
    <t xml:space="preserve">Hazardous-waste landfill leachate characterisation; no groundwater</t>
  </si>
  <si>
    <t xml:space="preserve">S3-15</t>
  </si>
  <si>
    <t xml:space="preserve">Song et al.</t>
  </si>
  <si>
    <t xml:space="preserve">Construction of a hydrogeochemical conceptual model and identification of the groundwater pollution contribution rate in a pyrite mining area</t>
  </si>
  <si>
    <t xml:space="preserve">10.1016/j.envpol.2022.119327</t>
  </si>
  <si>
    <t xml:space="preserve">Acid mine drainage and tailings leachate; not MSW landfill</t>
  </si>
  <si>
    <t xml:space="preserve">S3-16</t>
  </si>
  <si>
    <t xml:space="preserve">Akinpelu et al.</t>
  </si>
  <si>
    <t xml:space="preserve">Probabilistic analysis of water quality deterioration and health risks assessment incorporating machine learning techniques in Mhlathuze catchment, South Africa</t>
  </si>
  <si>
    <t xml:space="preserve">Human and Ecological Risk Assessment</t>
  </si>
  <si>
    <t xml:space="preserve">10.1080/10807039.2025.2500382</t>
  </si>
  <si>
    <t xml:space="preserve">Catchment-scale study; landfill factor is an industrial landfill, not MSW (borderline)</t>
  </si>
  <si>
    <t xml:space="preserve">S3-17</t>
  </si>
  <si>
    <t xml:space="preserve">Valdez et al.</t>
  </si>
  <si>
    <t xml:space="preserve">Iodine-129 as an environmental tracer of salinity and freshwater leachates in Boracay Island, Philippines</t>
  </si>
  <si>
    <t xml:space="preserve">Nuclear Instruments and Methods in Physics Research, Section B: Beam Interactions with Materials and Atoms</t>
  </si>
  <si>
    <t xml:space="preserve">10.1016/j.nimb.2025.165950</t>
  </si>
  <si>
    <t xml:space="preserve">Not landfill leachate (water-treatment facility effluent; coastal salinisation)</t>
  </si>
  <si>
    <t xml:space="preserve">S3-18</t>
  </si>
  <si>
    <t xml:space="preserve">Kimbi et al.</t>
  </si>
  <si>
    <t xml:space="preserve">Hydrogeochemical and isotopic analysis of groundwater and surface water interactions in the Southern Nyong river basin, Mbalmayo–Cameroon</t>
  </si>
  <si>
    <t xml:space="preserve">Discover Geoscience</t>
  </si>
  <si>
    <t xml:space="preserve">10.1007/s44288-026-00446-0</t>
  </si>
  <si>
    <t xml:space="preserve">Not a landfill study (pit latrine and septic seepage)</t>
  </si>
  <si>
    <t xml:space="preserve">S3-19</t>
  </si>
  <si>
    <t xml:space="preserve">Dávila Pórcel et al.</t>
  </si>
  <si>
    <t xml:space="preserve">Urban impacts analysis on hydrochemical and hydrogeological evolution of groundwater in shallow aquifer Linares, Mexico</t>
  </si>
  <si>
    <t xml:space="preserve">10.1007/s12665-011-1411-3</t>
  </si>
  <si>
    <t xml:space="preserve">Landfill not the object of study</t>
  </si>
  <si>
    <t xml:space="preserve">Regional urban/agricultural contamination study; landfill only listed among possible sources</t>
  </si>
  <si>
    <t xml:space="preserve">S3-20</t>
  </si>
  <si>
    <t xml:space="preserve">Nagaraju et al.</t>
  </si>
  <si>
    <t xml:space="preserve">Assessment of groundwater quality of Udayagiri area, Nellore district, Andhra Pradesh, South India using multivariate statistical techniques</t>
  </si>
  <si>
    <t xml:space="preserve">Earth Sciences Research Journal</t>
  </si>
  <si>
    <t xml:space="preserve">10.15446/esrj.v20n4.54555</t>
  </si>
  <si>
    <t xml:space="preserve">Regional hydrogeochemistry; landfill leachate invoked speculatively, no landfill studied</t>
  </si>
  <si>
    <t xml:space="preserve">S3-21</t>
  </si>
  <si>
    <t xml:space="preserve">Gomez et al.</t>
  </si>
  <si>
    <t xml:space="preserve">Hydrochemical processes, variability and natural background levels of Arsenic in groundwater of northeastern Mendoza, Argentina</t>
  </si>
  <si>
    <t xml:space="preserve">Journal of Iberian Geology</t>
  </si>
  <si>
    <t xml:space="preserve">10.1007/s41513-018-00099-0</t>
  </si>
  <si>
    <t xml:space="preserve">Natural arsenic background study; no landfill</t>
  </si>
  <si>
    <t xml:space="preserve">S3-22</t>
  </si>
  <si>
    <t xml:space="preserve">Bakyayita et al.</t>
  </si>
  <si>
    <t xml:space="preserve">Assessment of Levels, Speciation, and Toxicity of Trace Metal Contaminants in Selected Shallow Groundwater Sources, Surface Runoff, Wastewater, and Surface Water from Designated Streams in Lake Victoria Basin, Uganda</t>
  </si>
  <si>
    <t xml:space="preserve">Journal of Environmental and Public Health</t>
  </si>
  <si>
    <t xml:space="preserve">10.1155/2019/6734017</t>
  </si>
  <si>
    <t xml:space="preserve">Regional basin study; leachate one of many sampled sources, no groundwater attribution</t>
  </si>
  <si>
    <t xml:space="preserve">S3-23</t>
  </si>
  <si>
    <t xml:space="preserve">Isotopic and chemical evidence for nitrate sources and transformation processes in a plateau lake basin in Southwest China</t>
  </si>
  <si>
    <t xml:space="preserve">10.1016/j.scitotenv.2019.134856</t>
  </si>
  <si>
    <t xml:space="preserve">Regional lake-basin nitrate study; landfill leachate lumped with manure, no landfill-specific attribution</t>
  </si>
  <si>
    <t xml:space="preserve">S3-24</t>
  </si>
  <si>
    <t xml:space="preserve">Roy et al.</t>
  </si>
  <si>
    <t xml:space="preserve">Hydrogeochemistry and quality evaluation of groundwater and its impact on human health in North Tripura, India</t>
  </si>
  <si>
    <t xml:space="preserve">10.1007/s10661-022-10642-3</t>
  </si>
  <si>
    <t xml:space="preserve">Regional groundwater quality study; landfill mentioned only in passing, no leachate component</t>
  </si>
  <si>
    <t xml:space="preserve">S3-25</t>
  </si>
  <si>
    <t xml:space="preserve">Moukhliss et al.</t>
  </si>
  <si>
    <t xml:space="preserve">Assessment of Groundwater Quality in the Berrechid Aquifer, Central Morocco, Using Multivariate Statistics and Water Quality Indices</t>
  </si>
  <si>
    <t xml:space="preserve">10.12912/27197050/159969</t>
  </si>
  <si>
    <t xml:space="preserve">Regional groundwater quality study; landfill leachate only listed among possible sources</t>
  </si>
  <si>
    <t xml:space="preserve">S3-26</t>
  </si>
  <si>
    <t xml:space="preserve">Varank et al.</t>
  </si>
  <si>
    <t xml:space="preserve">Migration behavior of landfill leachate contaminants through alternative composite liners</t>
  </si>
  <si>
    <t xml:space="preserve">10.1016/j.scitotenv.2011.04.044</t>
  </si>
  <si>
    <t xml:space="preserve">Laboratory, experimental or modelling study without field data</t>
  </si>
  <si>
    <t xml:space="preserve">Laboratory landfill reactors testing liner materials</t>
  </si>
  <si>
    <t xml:space="preserve">S3-27</t>
  </si>
  <si>
    <t xml:space="preserve">Woodman et al.</t>
  </si>
  <si>
    <t xml:space="preserve">Multiple-tracer tests for contaminant transport process identification in saturated municipal solid waste</t>
  </si>
  <si>
    <t xml:space="preserve">10.1016/j.wasman.2014.12.012</t>
  </si>
  <si>
    <t xml:space="preserve">Laboratory column tracer tests within waste; no groundwater</t>
  </si>
  <si>
    <t xml:space="preserve">S3-28</t>
  </si>
  <si>
    <t xml:space="preserve">Azadi et al.</t>
  </si>
  <si>
    <t xml:space="preserve">Evaluating the ability of artificial neural network and PCA-M5P models in predicting leachate COD load in landfills</t>
  </si>
  <si>
    <t xml:space="preserve">10.1016/j.wasman.2016.05.025</t>
  </si>
  <si>
    <t xml:space="preserve">Model predicting leachate COD in laboratory lysimeters; no groundwater</t>
  </si>
  <si>
    <t xml:space="preserve">S3-29</t>
  </si>
  <si>
    <t xml:space="preserve">Szymański et al.</t>
  </si>
  <si>
    <t xml:space="preserve">Method of evaluating the impact of landfill leachate on groundwater quality</t>
  </si>
  <si>
    <t xml:space="preserve">10.1007/s10661-018-6776-2</t>
  </si>
  <si>
    <t xml:space="preserve">Laboratory column experiment with artificial leachate; no field groundwater data</t>
  </si>
  <si>
    <t xml:space="preserve">S3-30</t>
  </si>
  <si>
    <t xml:space="preserve">Shu et al.</t>
  </si>
  <si>
    <t xml:space="preserve">Leachate breakthrough mechanism and key pollutant indicator of municipal solid waste landfill barrier systems: Centrifuge and numerical modeling approach</t>
  </si>
  <si>
    <t xml:space="preserve">10.1016/j.scitotenv.2017.08.185</t>
  </si>
  <si>
    <t xml:space="preserve">Centrifuge and numerical modelling of transport through liners; no field groundwater</t>
  </si>
  <si>
    <t xml:space="preserve">S3-31</t>
  </si>
  <si>
    <t xml:space="preserve">Ahmed et al.</t>
  </si>
  <si>
    <t xml:space="preserve">Impacts of landfill leachate on groundwater quality in desert climate regions</t>
  </si>
  <si>
    <t xml:space="preserve">International Journal of Environmental Science and Technology</t>
  </si>
  <si>
    <t xml:space="preserve">10.1007/s13762-018-2124-x</t>
  </si>
  <si>
    <t xml:space="preserve">Transport modelling (MODFLOW/MT3DMS) for safe-distance prediction; no source discrimination</t>
  </si>
  <si>
    <t xml:space="preserve">S3-32</t>
  </si>
  <si>
    <t xml:space="preserve">Hu et al.</t>
  </si>
  <si>
    <t xml:space="preserve">Experiment on monitoring leakage of landfill leachate by parallel potentiometric monitoring method</t>
  </si>
  <si>
    <t xml:space="preserve">10.1038/s41598-022-24352-w</t>
  </si>
  <si>
    <t xml:space="preserve">Laboratory physical model of leakage monitoring</t>
  </si>
  <si>
    <t xml:space="preserve">S3-33</t>
  </si>
  <si>
    <t xml:space="preserve">Qi et al.</t>
  </si>
  <si>
    <t xml:space="preserve">Temporal Evolution of Biogeochemical Parameters and Microbial Communities in a Landfill Leachate Pollution Plume</t>
  </si>
  <si>
    <t xml:space="preserve">10.1007/s11270-023-06747-1</t>
  </si>
  <si>
    <t xml:space="preserve">Laboratory microcosm experiment; no field groundwater data</t>
  </si>
  <si>
    <t xml:space="preserve">S3-34</t>
  </si>
  <si>
    <t xml:space="preserve">Alizamir et al.</t>
  </si>
  <si>
    <t xml:space="preserve">Investigating Landfill Leachate and Groundwater Quality Prediction Using a Robust Integrated Artificial Intelligence Model: Grey Wolf Metaheuristic Optimization Algorithm and Extreme Learning Machine</t>
  </si>
  <si>
    <t xml:space="preserve">10.3390/w15132453</t>
  </si>
  <si>
    <t xml:space="preserve">Machine-learning prediction of leachate and groundwater parameters; no source discrimination</t>
  </si>
  <si>
    <t xml:space="preserve">S3-35</t>
  </si>
  <si>
    <t xml:space="preserve">Zhang et al.</t>
  </si>
  <si>
    <t xml:space="preserve">Active Learning-enhanced Deep Neural Network (AL-DNN) for uncertainty analysis of landfill leakage risk</t>
  </si>
  <si>
    <t xml:space="preserve">Journal of Hazardous Materials</t>
  </si>
  <si>
    <t xml:space="preserve">10.1016/j.jhazmat.2025.139556</t>
  </si>
  <si>
    <t xml:space="preserve">Numerical/surrogate (deep-learning) modelling of leakage risk; no field discrimination</t>
  </si>
  <si>
    <t xml:space="preserve">S3-36</t>
  </si>
  <si>
    <t xml:space="preserve">Regadío et al.</t>
  </si>
  <si>
    <t xml:space="preserve">Pollution profiles and physicochemical parameters in old uncontrolled landfills</t>
  </si>
  <si>
    <t xml:space="preserve">10.1016/j.wasman.2011.11.008</t>
  </si>
  <si>
    <t xml:space="preserve">No groundwater component</t>
  </si>
  <si>
    <t xml:space="preserve">Leachate attenuation in clay barrier soils beneath landfills; no groundwater</t>
  </si>
  <si>
    <t xml:space="preserve">S3-37</t>
  </si>
  <si>
    <t xml:space="preserve">Wimmer et al.</t>
  </si>
  <si>
    <t xml:space="preserve">Stable isotope signatures for characterising the biological stability of landfilled municipal solid waste</t>
  </si>
  <si>
    <t xml:space="preserve">10.1016/j.wasman.2013.02.017</t>
  </si>
  <si>
    <t xml:space="preserve">Leachate isotopes as a waste-stability indicator (reactors, lysimeter); no groundwater</t>
  </si>
  <si>
    <t xml:space="preserve">S3-38</t>
  </si>
  <si>
    <t xml:space="preserve">Yin et al.</t>
  </si>
  <si>
    <t xml:space="preserve">Insights for transformation of contaminants in leachate at a tropical landfill dominated by natural attenuation</t>
  </si>
  <si>
    <t xml:space="preserve">10.1016/j.wasman.2016.04.033</t>
  </si>
  <si>
    <t xml:space="preserve">No groundwater component (leachate sampled inside the landfill only)</t>
  </si>
  <si>
    <t xml:space="preserve">S3-39</t>
  </si>
  <si>
    <t xml:space="preserve">Gupta and Paulraj</t>
  </si>
  <si>
    <t xml:space="preserve">Leachate composition and toxicity assessment: an integrated approach correlating physicochemical parameters and toxicity of leachates from MSW landfill in Delhi</t>
  </si>
  <si>
    <t xml:space="preserve">Environmental Technology (United Kingdom)</t>
  </si>
  <si>
    <t xml:space="preserve">10.1080/09593330.2016.1238515</t>
  </si>
  <si>
    <t xml:space="preserve">Leachate phytotoxicity only; no groundwater</t>
  </si>
  <si>
    <t xml:space="preserve">S3-40</t>
  </si>
  <si>
    <t xml:space="preserve">Application of vadose-zone monitoring system for real-time characterization of leachate percolation in and under a municipal landfill</t>
  </si>
  <si>
    <t xml:space="preserve">10.1016/j.wasman.2017.05.012</t>
  </si>
  <si>
    <t xml:space="preserve">No groundwater component (waste body and vadose zone only)</t>
  </si>
  <si>
    <t xml:space="preserve">S3-41</t>
  </si>
  <si>
    <t xml:space="preserve">Su et al.</t>
  </si>
  <si>
    <t xml:space="preserve">Water Quality Source Apportionment of Qingyi River Based on the APCS-MLR Model Optimized by Random Forest</t>
  </si>
  <si>
    <t xml:space="preserve">Clean - Soil, Air, Water</t>
  </si>
  <si>
    <t xml:space="preserve">10.1002/clen.70057</t>
  </si>
  <si>
    <t xml:space="preserve">Surface-water (river) source apportionment; no groundwater</t>
  </si>
  <si>
    <t xml:space="preserve">S3-42</t>
  </si>
  <si>
    <t xml:space="preserve">Wöhling et al.</t>
  </si>
  <si>
    <t xml:space="preserve">Dual-tracer, non-equilibrium mixing cell modelling and uncertainty analysis for unsaturated bromide and chloride transport</t>
  </si>
  <si>
    <t xml:space="preserve">Journal of Contaminant Hydrology</t>
  </si>
  <si>
    <t xml:space="preserve">10.1016/j.jconhyd.2012.08.001</t>
  </si>
  <si>
    <t xml:space="preserve">No method linking groundwater composition to leachate</t>
  </si>
  <si>
    <t xml:space="preserve">Vadose-zone Br/Cl tracer transport in an agricultural catchment; not a landfill</t>
  </si>
  <si>
    <t xml:space="preserve">S3-43</t>
  </si>
  <si>
    <t xml:space="preserve">Kogovšek and Petrič</t>
  </si>
  <si>
    <t xml:space="preserve">Increase of vulnerability of karst aquifers due to leakage from landfills</t>
  </si>
  <si>
    <t xml:space="preserve">10.1007/s12665-012-2180-3</t>
  </si>
  <si>
    <t xml:space="preserve">Tracer tests on flow paths and karst vulnerability; groundwater composition not attributed</t>
  </si>
  <si>
    <t xml:space="preserve">S3-44</t>
  </si>
  <si>
    <t xml:space="preserve">Characterisation of the bacterial microbiota of a landfill-contaminated confined aquifer undergoing intrinsic remediation</t>
  </si>
  <si>
    <t xml:space="preserve">10.1016/j.scitotenv.2021.147349</t>
  </si>
  <si>
    <t xml:space="preserve">Microbial community characterisation; attribution not addressed</t>
  </si>
  <si>
    <t xml:space="preserve">S3-45</t>
  </si>
  <si>
    <t xml:space="preserve">AbdolkhaniNezhad et al.</t>
  </si>
  <si>
    <t xml:space="preserve">Comparative analytical study of the results of environmental risk assessment of urban landfills approach: bowtie, network analysis techniques (ANP), TOPSIS (case study: Gilan Province)</t>
  </si>
  <si>
    <t xml:space="preserve">10.1007/s10661-022-10513-x</t>
  </si>
  <si>
    <t xml:space="preserve">Landfill siting risk assessment (ANP/Delphi/TOPSIS); no groundwater data</t>
  </si>
  <si>
    <t xml:space="preserve">S3-46</t>
  </si>
  <si>
    <t xml:space="preserve">Nihalani et al.</t>
  </si>
  <si>
    <t xml:space="preserve">Groundwater quality assessment in proximity to solid waste dumpsite at Uruli Devachi in Pune, Maharashtra</t>
  </si>
  <si>
    <t xml:space="preserve">Water Science and Technology</t>
  </si>
  <si>
    <t xml:space="preserve">10.2166/wst.2022.172</t>
  </si>
  <si>
    <t xml:space="preserve">Descriptive downstream water-quality survey; no method linking composition to leachate</t>
  </si>
  <si>
    <t xml:space="preserve">S3-47</t>
  </si>
  <si>
    <t xml:space="preserve">Javahershenas et al.</t>
  </si>
  <si>
    <t xml:space="preserve">The effects of Lahijan landfill leachate on the quality of surface and groundwater resources</t>
  </si>
  <si>
    <t xml:space="preserve">International Journal of Environmental Analytical Chemistry</t>
  </si>
  <si>
    <t xml:space="preserve">10.1080/03067319.2020.1724984</t>
  </si>
  <si>
    <t xml:space="preserve">No method linking groundwater composition to leachate (comparison with drinking-water standards only)</t>
  </si>
  <si>
    <t xml:space="preserve">S3-48</t>
  </si>
  <si>
    <t xml:space="preserve">Vaishna et al.</t>
  </si>
  <si>
    <t xml:space="preserve">Investigating combustion derived runoff from solid waste dumpyard fire suppression activities: chemical profile and environmental risks</t>
  </si>
  <si>
    <t xml:space="preserve">Environmental Science: Processes and Impacts</t>
  </si>
  <si>
    <t xml:space="preserve">10.1039/d5em00343a</t>
  </si>
  <si>
    <t xml:space="preserve">No method linking groundwater composition to leachate (combustion-derived runoff from a dump fire)</t>
  </si>
  <si>
    <t xml:space="preserve">Table S4. Thesaurus applied to the keywords in the keyword co-occurrence analysis (Supplementary Figure S1)</t>
  </si>
  <si>
    <t xml:space="preserve">Keywords in the first column were replaced by the term in the second column. An empty second column means the keyword was removed: search terms, generic terms and terms describing the assessment of water quality and health risk.</t>
  </si>
  <si>
    <t xml:space="preserve">Keyword as found</t>
  </si>
  <si>
    <t xml:space="preserve">Replaced by</t>
  </si>
  <si>
    <t xml:space="preserve">water chemistry</t>
  </si>
  <si>
    <t xml:space="preserve">hydrogeochemistry</t>
  </si>
  <si>
    <t xml:space="preserve">heavy metal contamination</t>
  </si>
  <si>
    <t xml:space="preserve">heavy metals</t>
  </si>
  <si>
    <t xml:space="preserve">stable carbon isotopes</t>
  </si>
  <si>
    <t xml:space="preserve">carbon isotopes</t>
  </si>
  <si>
    <t xml:space="preserve">nitrate contamination</t>
  </si>
  <si>
    <t xml:space="preserve">nitrate</t>
  </si>
  <si>
    <t xml:space="preserve">groundwater contamination</t>
  </si>
  <si>
    <t xml:space="preserve">(removed)</t>
  </si>
  <si>
    <t xml:space="preserve">landfill leachate</t>
  </si>
  <si>
    <t xml:space="preserve">municipal solid waste landfill</t>
  </si>
  <si>
    <t xml:space="preserve">groundwater quality</t>
  </si>
  <si>
    <t xml:space="preserve">water quality index</t>
  </si>
  <si>
    <t xml:space="preserve">manganese</t>
  </si>
  <si>
    <t xml:space="preserve">lead</t>
  </si>
  <si>
    <t xml:space="preserve">cadmium</t>
  </si>
  <si>
    <t xml:space="preserve">surface water contamination</t>
  </si>
  <si>
    <t xml:space="preserve">municipal solid waste</t>
  </si>
  <si>
    <t xml:space="preserve">surface water quality</t>
  </si>
  <si>
    <t xml:space="preserve">arsenic</t>
  </si>
  <si>
    <t xml:space="preserve">chromium</t>
  </si>
  <si>
    <t xml:space="preserve">iron</t>
  </si>
  <si>
    <t xml:space="preserve">health risk assessment</t>
  </si>
  <si>
    <t xml:space="preserve">leachate contamination</t>
  </si>
  <si>
    <t xml:space="preserve">drinking water suitability</t>
  </si>
  <si>
    <t xml:space="preserve">leachate pollution index</t>
  </si>
  <si>
    <t xml:space="preserve">non-carcinogenic risk</t>
  </si>
  <si>
    <t xml:space="preserve">physicochemical parameters</t>
  </si>
  <si>
    <t xml:space="preserve">sodium</t>
  </si>
  <si>
    <t xml:space="preserve">cancer risk</t>
  </si>
  <si>
    <t xml:space="preserve">leachate treatment</t>
  </si>
  <si>
    <t xml:space="preserve">drinking water quality</t>
  </si>
  <si>
    <t xml:space="preserve">anthropogenic pollution</t>
  </si>
  <si>
    <t xml:space="preserve">drinking water safety</t>
  </si>
  <si>
    <t xml:space="preserve">groundwater remediation</t>
  </si>
  <si>
    <t xml:space="preserve">leachate</t>
  </si>
  <si>
    <t xml:space="preserve">landfill</t>
  </si>
  <si>
    <t xml:space="preserve">water pollution</t>
  </si>
  <si>
    <t xml:space="preserve">Table S5. Sensitivity of the method profile and regional distribution to the definition of the subset</t>
  </si>
  <si>
    <t xml:space="preserve">Percentages of studies in each subset. Scores are on the four-criterion appraisal (0 to 4). The upper tertile of the score distribution corresponds to a score of 3 or more.</t>
  </si>
  <si>
    <t xml:space="preserve">Subset</t>
  </si>
  <si>
    <t xml:space="preserve">n</t>
  </si>
  <si>
    <t xml:space="preserve">Major ions %</t>
  </si>
  <si>
    <t xml:space="preserve">Multivariate %</t>
  </si>
  <si>
    <t xml:space="preserve">Isotopic tracers %</t>
  </si>
  <si>
    <t xml:space="preserve">Water isotopes %</t>
  </si>
  <si>
    <t xml:space="preserve">Mixing %</t>
  </si>
  <si>
    <t xml:space="preserve">Geophysics %</t>
  </si>
  <si>
    <t xml:space="preserve">≥3 categories %</t>
  </si>
  <si>
    <t xml:space="preserve">MENA+SSA %</t>
  </si>
  <si>
    <t xml:space="preserve">All studies</t>
  </si>
  <si>
    <t xml:space="preserve">≥2 of 4</t>
  </si>
  <si>
    <t xml:space="preserve">≥3 of 4 (main)</t>
  </si>
  <si>
    <t xml:space="preserve">All 4 of 4</t>
  </si>
  <si>
    <t xml:space="preserve">Upper tertile</t>
  </si>
  <si>
    <t xml:space="preserve">Background point (Q2)</t>
  </si>
  <si>
    <t xml:space="preserve">Leachate sampled (Q4)</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</si>
</sst>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
      <i val="true"/>
      <sz val="9"/>
      <color rgb="FF555555"/>
      <name val="Arial"/>
      <family val="0"/>
      <charset val="1"/>
    </font>
    <font>
      <b val="true"/>
      <sz val="10"/>
      <color rgb="FFFFFFFF"/>
      <name val="Arial"/>
      <family val="0"/>
      <charset val="1"/>
    </font>
    <font>
      <sz val="9.5"/>
      <name val="Arial"/>
      <family val="0"/>
      <charset val="1"/>
    </font>
    <font>
      <b val="true"/>
      <sz val="9.5"/>
      <name val="Arial"/>
      <family val="0"/>
      <charset val="1"/>
    </font>
    <font>
      <i val="true"/>
      <sz val="9.5"/>
      <name val="Arial"/>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 collapsed="false" customWidth="true" hidden="false" outlineLevel="0" max="2" min="2" style="1" width="12"/>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2"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row>
    <row r="11" customFormat="false" ht="15" hidden="false" customHeight="true" outlineLevel="0" collapsed="false">
      <c r="A11" s="2"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t="s">
        <v>11</v>
      </c>
    </row>
    <row r="15" customFormat="false" ht="15" hidden="false" customHeight="true" outlineLevel="0" collapsed="false">
      <c r="A15" s="3" t="s">
        <v>12</v>
      </c>
    </row>
    <row r="16" customFormat="false" ht="15" hidden="false" customHeight="true" outlineLevel="0" collapsed="false">
      <c r="A16" s="3" t="s">
        <v>13</v>
      </c>
    </row>
    <row r="17" customFormat="false" ht="15" hidden="false" customHeight="true" outlineLevel="0" collapsed="false">
      <c r="A17" s="3" t="s">
        <v>14</v>
      </c>
    </row>
    <row r="18" customFormat="false" ht="15" hidden="false" customHeight="true" outlineLevel="0" collapsed="false">
      <c r="A18" s="3" t="s">
        <v>15</v>
      </c>
    </row>
    <row r="19" customFormat="false" ht="15" hidden="false" customHeight="true" outlineLevel="0" collapsed="false">
      <c r="A19" s="3" t="s">
        <v>16</v>
      </c>
    </row>
    <row r="20" customFormat="false" ht="15" hidden="false" customHeight="true" outlineLevel="0" collapsed="false">
      <c r="A20" s="3" t="s">
        <v>17</v>
      </c>
    </row>
    <row r="21" customFormat="false" ht="15" hidden="false" customHeight="true" outlineLevel="0" collapsed="false">
      <c r="A21" s="3" t="s">
        <v>18</v>
      </c>
    </row>
    <row r="22" customFormat="false" ht="15" hidden="false" customHeight="true" outlineLevel="0" collapsed="false">
      <c r="A22" s="3"/>
    </row>
    <row r="23" customFormat="false" ht="15" hidden="false" customHeight="true" outlineLevel="0" collapsed="false">
      <c r="A23" s="2" t="s">
        <v>19</v>
      </c>
    </row>
    <row r="24" customFormat="false" ht="15" hidden="false" customHeight="true" outlineLevel="0" collapsed="false">
      <c r="A24" s="3" t="s">
        <v>20</v>
      </c>
    </row>
    <row r="25" customFormat="false" ht="15" hidden="false" customHeight="true" outlineLevel="0" collapsed="false">
      <c r="A25" s="3" t="s">
        <v>21</v>
      </c>
    </row>
    <row r="26" customFormat="false" ht="15" hidden="false" customHeight="true" outlineLevel="0" collapsed="false">
      <c r="A26" s="3" t="s">
        <v>22</v>
      </c>
    </row>
    <row r="27" customFormat="false" ht="15" hidden="false" customHeight="true" outlineLevel="0" collapsed="false">
      <c r="A27" s="3" t="s">
        <v>23</v>
      </c>
    </row>
    <row r="28" customFormat="false" ht="15" hidden="false" customHeight="true" outlineLevel="0" collapsed="false">
      <c r="A28" s="3" t="s">
        <v>24</v>
      </c>
    </row>
    <row r="29" customFormat="false" ht="15" hidden="false" customHeight="true" outlineLevel="0" collapsed="false">
      <c r="A29" s="3" t="s">
        <v>25</v>
      </c>
    </row>
    <row r="30" customFormat="false" ht="15" hidden="false" customHeight="true" outlineLevel="0" collapsed="false">
      <c r="A30" s="3"/>
    </row>
    <row r="31" customFormat="false" ht="15" hidden="false" customHeight="true" outlineLevel="0" collapsed="false">
      <c r="A31" s="2" t="s">
        <v>26</v>
      </c>
    </row>
    <row r="32" customFormat="false" ht="15" hidden="false" customHeight="true" outlineLevel="0" collapsed="false">
      <c r="A32" s="3" t="s">
        <v>27</v>
      </c>
      <c r="B32" s="4" t="n">
        <f aca="false">COUNTA('Table S2 Included'!A5:A137)</f>
        <v>133</v>
      </c>
    </row>
    <row r="33" customFormat="false" ht="15" hidden="false" customHeight="true" outlineLevel="0" collapsed="false">
      <c r="A33" s="3" t="s">
        <v>28</v>
      </c>
      <c r="B33" s="4" t="n">
        <f aca="false">ROUND(AVERAGE('Table S2 Included'!Q5:Q137),2)</f>
        <v>2.56</v>
      </c>
    </row>
    <row r="34" customFormat="false" ht="15" hidden="false" customHeight="true" outlineLevel="0" collapsed="false">
      <c r="A34" s="3" t="s">
        <v>29</v>
      </c>
      <c r="B34" s="4" t="n">
        <f aca="false">COUNTIF('Table S2 Included'!R5:R137,"Yes")</f>
        <v>76</v>
      </c>
    </row>
    <row r="35" customFormat="false" ht="15" hidden="false" customHeight="true" outlineLevel="0" collapsed="false">
      <c r="A35" s="3" t="s">
        <v>30</v>
      </c>
      <c r="B35" s="4" t="n">
        <f aca="false">COUNTA('Table S1 Not retrieved'!A5:A18)</f>
        <v>14</v>
      </c>
    </row>
    <row r="36" customFormat="false" ht="15" hidden="false" customHeight="true" outlineLevel="0" collapsed="false">
      <c r="A36" s="3" t="s">
        <v>31</v>
      </c>
      <c r="B36" s="4" t="n">
        <f aca="false">COUNTA('Table S3 Excluded'!A5:A52)</f>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7"/>
    <col collapsed="false" customWidth="true" hidden="false" outlineLevel="0" max="4" min="4" style="1" width="55"/>
    <col collapsed="false" customWidth="true" hidden="false" outlineLevel="0" max="5" min="5" style="1" width="32"/>
    <col collapsed="false" customWidth="true" hidden="false" outlineLevel="0" max="6" min="6" style="1" width="30"/>
    <col collapsed="false" customWidth="true" hidden="false" outlineLevel="0" max="7" min="7" style="1" width="45"/>
  </cols>
  <sheetData>
    <row r="1" customFormat="false" ht="15" hidden="false" customHeight="true" outlineLevel="0" collapsed="false">
      <c r="A1" s="2" t="s">
        <v>32</v>
      </c>
    </row>
    <row r="2" customFormat="false" ht="15" hidden="false" customHeight="true" outlineLevel="0" collapsed="false">
      <c r="A2" s="5" t="s">
        <v>33</v>
      </c>
    </row>
    <row r="4" customFormat="false" ht="15" hidden="false" customHeight="true" outlineLevel="0" collapsed="false">
      <c r="A4" s="6" t="s">
        <v>34</v>
      </c>
      <c r="B4" s="6" t="s">
        <v>35</v>
      </c>
      <c r="C4" s="6" t="s">
        <v>36</v>
      </c>
      <c r="D4" s="6" t="s">
        <v>37</v>
      </c>
      <c r="E4" s="6" t="s">
        <v>38</v>
      </c>
      <c r="F4" s="6" t="s">
        <v>39</v>
      </c>
      <c r="G4" s="6" t="s">
        <v>40</v>
      </c>
    </row>
    <row r="5" customFormat="false" ht="23.25" hidden="false" customHeight="true" outlineLevel="0" collapsed="false">
      <c r="A5" s="7" t="s">
        <v>41</v>
      </c>
      <c r="B5" s="7" t="s">
        <v>42</v>
      </c>
      <c r="C5" s="7" t="n">
        <v>2012</v>
      </c>
      <c r="D5" s="7" t="s">
        <v>43</v>
      </c>
      <c r="E5" s="7" t="s">
        <v>44</v>
      </c>
      <c r="F5" s="7" t="s">
        <v>45</v>
      </c>
      <c r="G5" s="7" t="s">
        <v>46</v>
      </c>
    </row>
    <row r="6" customFormat="false" ht="23.25" hidden="false" customHeight="true" outlineLevel="0" collapsed="false">
      <c r="A6" s="7" t="s">
        <v>47</v>
      </c>
      <c r="B6" s="7" t="s">
        <v>48</v>
      </c>
      <c r="C6" s="7" t="n">
        <v>2017</v>
      </c>
      <c r="D6" s="7" t="s">
        <v>49</v>
      </c>
      <c r="E6" s="7" t="s">
        <v>50</v>
      </c>
      <c r="F6" s="7" t="s">
        <v>51</v>
      </c>
      <c r="G6" s="7" t="s">
        <v>46</v>
      </c>
    </row>
    <row r="7" customFormat="false" ht="34.5" hidden="false" customHeight="true" outlineLevel="0" collapsed="false">
      <c r="A7" s="7" t="s">
        <v>52</v>
      </c>
      <c r="B7" s="7" t="s">
        <v>53</v>
      </c>
      <c r="C7" s="7" t="n">
        <v>2019</v>
      </c>
      <c r="D7" s="7" t="s">
        <v>54</v>
      </c>
      <c r="E7" s="7" t="s">
        <v>55</v>
      </c>
      <c r="F7" s="7" t="s">
        <v>56</v>
      </c>
      <c r="G7" s="7" t="s">
        <v>57</v>
      </c>
    </row>
    <row r="8" customFormat="false" ht="23.25" hidden="false" customHeight="true" outlineLevel="0" collapsed="false">
      <c r="A8" s="7" t="s">
        <v>58</v>
      </c>
      <c r="B8" s="7" t="s">
        <v>59</v>
      </c>
      <c r="C8" s="7" t="n">
        <v>2022</v>
      </c>
      <c r="D8" s="7" t="s">
        <v>60</v>
      </c>
      <c r="E8" s="7" t="s">
        <v>61</v>
      </c>
      <c r="F8" s="7" t="s">
        <v>62</v>
      </c>
      <c r="G8" s="7" t="s">
        <v>46</v>
      </c>
    </row>
    <row r="9" customFormat="false" ht="34.5" hidden="false" customHeight="true" outlineLevel="0" collapsed="false">
      <c r="A9" s="7" t="s">
        <v>63</v>
      </c>
      <c r="B9" s="7" t="s">
        <v>64</v>
      </c>
      <c r="C9" s="7" t="n">
        <v>2022</v>
      </c>
      <c r="D9" s="7" t="s">
        <v>65</v>
      </c>
      <c r="E9" s="7" t="s">
        <v>66</v>
      </c>
      <c r="F9" s="7" t="s">
        <v>67</v>
      </c>
      <c r="G9" s="7" t="s">
        <v>68</v>
      </c>
    </row>
    <row r="10" customFormat="false" ht="23.25" hidden="false" customHeight="true" outlineLevel="0" collapsed="false">
      <c r="A10" s="7" t="s">
        <v>69</v>
      </c>
      <c r="B10" s="7" t="s">
        <v>70</v>
      </c>
      <c r="C10" s="7" t="n">
        <v>2024</v>
      </c>
      <c r="D10" s="7" t="s">
        <v>71</v>
      </c>
      <c r="E10" s="7" t="s">
        <v>72</v>
      </c>
      <c r="F10" s="7" t="s">
        <v>73</v>
      </c>
      <c r="G10" s="7" t="s">
        <v>46</v>
      </c>
    </row>
    <row r="11" customFormat="false" ht="23.25" hidden="false" customHeight="true" outlineLevel="0" collapsed="false">
      <c r="A11" s="7" t="s">
        <v>74</v>
      </c>
      <c r="B11" s="7" t="s">
        <v>75</v>
      </c>
      <c r="C11" s="7" t="n">
        <v>2024</v>
      </c>
      <c r="D11" s="7" t="s">
        <v>76</v>
      </c>
      <c r="E11" s="7" t="s">
        <v>77</v>
      </c>
      <c r="F11" s="7" t="s">
        <v>78</v>
      </c>
      <c r="G11" s="7" t="s">
        <v>46</v>
      </c>
    </row>
    <row r="12" customFormat="false" ht="23.25" hidden="false" customHeight="true" outlineLevel="0" collapsed="false">
      <c r="A12" s="7" t="s">
        <v>79</v>
      </c>
      <c r="B12" s="7" t="s">
        <v>80</v>
      </c>
      <c r="C12" s="7" t="n">
        <v>2024</v>
      </c>
      <c r="D12" s="7" t="s">
        <v>81</v>
      </c>
      <c r="E12" s="7" t="s">
        <v>82</v>
      </c>
      <c r="F12" s="7" t="s">
        <v>83</v>
      </c>
      <c r="G12" s="7" t="s">
        <v>46</v>
      </c>
    </row>
    <row r="13" customFormat="false" ht="23.25" hidden="false" customHeight="true" outlineLevel="0" collapsed="false">
      <c r="A13" s="7" t="s">
        <v>84</v>
      </c>
      <c r="B13" s="7" t="s">
        <v>85</v>
      </c>
      <c r="C13" s="7" t="n">
        <v>2024</v>
      </c>
      <c r="D13" s="7" t="s">
        <v>86</v>
      </c>
      <c r="E13" s="7" t="s">
        <v>87</v>
      </c>
      <c r="F13" s="7" t="s">
        <v>88</v>
      </c>
      <c r="G13" s="7" t="s">
        <v>46</v>
      </c>
    </row>
    <row r="14" customFormat="false" ht="23.25" hidden="false" customHeight="true" outlineLevel="0" collapsed="false">
      <c r="A14" s="7" t="s">
        <v>89</v>
      </c>
      <c r="B14" s="7" t="s">
        <v>90</v>
      </c>
      <c r="C14" s="7" t="n">
        <v>2025</v>
      </c>
      <c r="D14" s="7" t="s">
        <v>91</v>
      </c>
      <c r="E14" s="7" t="s">
        <v>92</v>
      </c>
      <c r="F14" s="7" t="s">
        <v>93</v>
      </c>
      <c r="G14" s="7" t="s">
        <v>46</v>
      </c>
    </row>
    <row r="15" customFormat="false" ht="34.5" hidden="false" customHeight="true" outlineLevel="0" collapsed="false">
      <c r="A15" s="7" t="s">
        <v>94</v>
      </c>
      <c r="B15" s="7" t="s">
        <v>95</v>
      </c>
      <c r="C15" s="7" t="n">
        <v>2025</v>
      </c>
      <c r="D15" s="7" t="s">
        <v>96</v>
      </c>
      <c r="E15" s="7" t="s">
        <v>97</v>
      </c>
      <c r="F15" s="7" t="s">
        <v>98</v>
      </c>
      <c r="G15" s="7" t="s">
        <v>46</v>
      </c>
    </row>
    <row r="16" customFormat="false" ht="23.25" hidden="false" customHeight="true" outlineLevel="0" collapsed="false">
      <c r="A16" s="7" t="s">
        <v>99</v>
      </c>
      <c r="B16" s="7" t="s">
        <v>100</v>
      </c>
      <c r="C16" s="7" t="n">
        <v>2025</v>
      </c>
      <c r="D16" s="7" t="s">
        <v>101</v>
      </c>
      <c r="E16" s="7" t="s">
        <v>102</v>
      </c>
      <c r="F16" s="7" t="s">
        <v>103</v>
      </c>
      <c r="G16" s="7" t="s">
        <v>46</v>
      </c>
    </row>
    <row r="17" customFormat="false" ht="23.25" hidden="false" customHeight="true" outlineLevel="0" collapsed="false">
      <c r="A17" s="7" t="s">
        <v>104</v>
      </c>
      <c r="B17" s="7" t="s">
        <v>105</v>
      </c>
      <c r="C17" s="7" t="n">
        <v>2026</v>
      </c>
      <c r="D17" s="7" t="s">
        <v>106</v>
      </c>
      <c r="E17" s="7" t="s">
        <v>107</v>
      </c>
      <c r="F17" s="7" t="s">
        <v>108</v>
      </c>
      <c r="G17" s="7" t="s">
        <v>46</v>
      </c>
    </row>
    <row r="18" customFormat="false" ht="34.5" hidden="false" customHeight="true" outlineLevel="0" collapsed="false">
      <c r="A18" s="7" t="s">
        <v>109</v>
      </c>
      <c r="B18" s="7" t="s">
        <v>110</v>
      </c>
      <c r="C18" s="7" t="n">
        <v>2026</v>
      </c>
      <c r="D18" s="7" t="s">
        <v>111</v>
      </c>
      <c r="E18" s="7" t="s">
        <v>102</v>
      </c>
      <c r="F18" s="7" t="s">
        <v>112</v>
      </c>
      <c r="G18" s="7"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7"/>
    <col collapsed="false" customWidth="true" hidden="false" outlineLevel="0" max="4" min="4" style="1" width="48"/>
    <col collapsed="false" customWidth="true" hidden="false" outlineLevel="0" max="5" min="5" style="1" width="30"/>
    <col collapsed="false" customWidth="true" hidden="false" outlineLevel="0" max="6" min="6" style="1" width="26"/>
    <col collapsed="false" customWidth="true" hidden="false" outlineLevel="0" max="7" min="7" style="1" width="20"/>
    <col collapsed="false" customWidth="true" hidden="false" outlineLevel="0" max="8" min="8" style="1" width="14"/>
    <col collapsed="false" customWidth="true" hidden="false" outlineLevel="0" max="9" min="9" style="1" width="20"/>
    <col collapsed="false" customWidth="true" hidden="false" outlineLevel="0" max="10" min="10" style="1" width="26"/>
    <col collapsed="false" customWidth="true" hidden="false" outlineLevel="0" max="11" min="11" style="1" width="12"/>
    <col collapsed="false" customWidth="true" hidden="false" outlineLevel="0" max="12" min="12" style="1" width="24"/>
    <col collapsed="false" customWidth="true" hidden="false" outlineLevel="0" max="17" min="13" style="1" width="5"/>
    <col collapsed="false" customWidth="true" hidden="false" outlineLevel="0" max="19" min="18" style="1" width="9"/>
    <col collapsed="false" customWidth="true" hidden="false" outlineLevel="0" max="20" min="20" style="1" width="60"/>
    <col collapsed="false" customWidth="true" hidden="false" outlineLevel="0" max="21" min="21" style="1" width="22"/>
  </cols>
  <sheetData>
    <row r="1" customFormat="false" ht="15" hidden="false" customHeight="true" outlineLevel="0" collapsed="false">
      <c r="A1" s="2" t="s">
        <v>113</v>
      </c>
    </row>
    <row r="2" customFormat="false" ht="15" hidden="false" customHeight="true" outlineLevel="0" collapsed="false">
      <c r="A2" s="5" t="s">
        <v>114</v>
      </c>
    </row>
    <row r="4" customFormat="false" ht="34.5" hidden="false" customHeight="true" outlineLevel="0" collapsed="false">
      <c r="A4" s="6" t="s">
        <v>115</v>
      </c>
      <c r="B4" s="6" t="s">
        <v>35</v>
      </c>
      <c r="C4" s="6" t="s">
        <v>36</v>
      </c>
      <c r="D4" s="6" t="s">
        <v>37</v>
      </c>
      <c r="E4" s="6" t="s">
        <v>38</v>
      </c>
      <c r="F4" s="6" t="s">
        <v>39</v>
      </c>
      <c r="G4" s="6" t="s">
        <v>116</v>
      </c>
      <c r="H4" s="6" t="s">
        <v>117</v>
      </c>
      <c r="I4" s="6" t="s">
        <v>118</v>
      </c>
      <c r="J4" s="6" t="s">
        <v>119</v>
      </c>
      <c r="K4" s="6" t="s">
        <v>120</v>
      </c>
      <c r="L4" s="6" t="s">
        <v>121</v>
      </c>
      <c r="M4" s="6" t="s">
        <v>122</v>
      </c>
      <c r="N4" s="6" t="s">
        <v>123</v>
      </c>
      <c r="O4" s="6" t="s">
        <v>124</v>
      </c>
      <c r="P4" s="6" t="s">
        <v>125</v>
      </c>
      <c r="Q4" s="6" t="s">
        <v>126</v>
      </c>
      <c r="R4" s="6" t="s">
        <v>127</v>
      </c>
      <c r="S4" s="6" t="s">
        <v>128</v>
      </c>
      <c r="T4" s="6" t="s">
        <v>129</v>
      </c>
    </row>
    <row r="5" customFormat="false" ht="34.5" hidden="false" customHeight="true" outlineLevel="0" collapsed="false">
      <c r="A5" s="7" t="s">
        <v>130</v>
      </c>
      <c r="B5" s="7" t="s">
        <v>131</v>
      </c>
      <c r="C5" s="7" t="n">
        <v>2010</v>
      </c>
      <c r="D5" s="7" t="s">
        <v>132</v>
      </c>
      <c r="E5" s="7" t="s">
        <v>133</v>
      </c>
      <c r="F5" s="7" t="s">
        <v>134</v>
      </c>
      <c r="G5" s="7" t="s">
        <v>135</v>
      </c>
      <c r="H5" s="7" t="s">
        <v>136</v>
      </c>
      <c r="I5" s="7" t="s">
        <v>137</v>
      </c>
      <c r="J5" s="7" t="s">
        <v>138</v>
      </c>
      <c r="K5" s="7" t="s">
        <v>139</v>
      </c>
      <c r="L5" s="7"/>
      <c r="M5" s="7" t="n">
        <v>1</v>
      </c>
      <c r="N5" s="7" t="n">
        <v>1</v>
      </c>
      <c r="O5" s="7" t="n">
        <v>1</v>
      </c>
      <c r="P5" s="7" t="n">
        <v>1</v>
      </c>
      <c r="Q5" s="8" t="n">
        <f aca="false">SUM(M5:P5)</f>
        <v>4</v>
      </c>
      <c r="R5" s="8" t="str">
        <f aca="false">IF(Q5&gt;=3,"Yes","No")</f>
        <v>Yes</v>
      </c>
      <c r="S5" s="7" t="s">
        <v>140</v>
      </c>
      <c r="T5" s="7"/>
    </row>
    <row r="6" customFormat="false" ht="34.5" hidden="false" customHeight="true" outlineLevel="0" collapsed="false">
      <c r="A6" s="7" t="s">
        <v>141</v>
      </c>
      <c r="B6" s="7" t="s">
        <v>142</v>
      </c>
      <c r="C6" s="7" t="n">
        <v>2010</v>
      </c>
      <c r="D6" s="7" t="s">
        <v>143</v>
      </c>
      <c r="E6" s="7" t="s">
        <v>144</v>
      </c>
      <c r="F6" s="7" t="s">
        <v>145</v>
      </c>
      <c r="G6" s="7" t="s">
        <v>146</v>
      </c>
      <c r="H6" s="7" t="s">
        <v>147</v>
      </c>
      <c r="I6" s="7" t="s">
        <v>148</v>
      </c>
      <c r="J6" s="7" t="s">
        <v>149</v>
      </c>
      <c r="K6" s="7" t="s">
        <v>150</v>
      </c>
      <c r="L6" s="7"/>
      <c r="M6" s="7" t="n">
        <v>1</v>
      </c>
      <c r="N6" s="7" t="n">
        <v>1</v>
      </c>
      <c r="O6" s="7" t="n">
        <v>1</v>
      </c>
      <c r="P6" s="7" t="n">
        <v>1</v>
      </c>
      <c r="Q6" s="8" t="n">
        <f aca="false">SUM(M6:P6)</f>
        <v>4</v>
      </c>
      <c r="R6" s="8" t="str">
        <f aca="false">IF(Q6&gt;=3,"Yes","No")</f>
        <v>Yes</v>
      </c>
      <c r="S6" s="7" t="s">
        <v>151</v>
      </c>
      <c r="T6" s="7"/>
    </row>
    <row r="7" customFormat="false" ht="34.5" hidden="false" customHeight="true" outlineLevel="0" collapsed="false">
      <c r="A7" s="7" t="s">
        <v>152</v>
      </c>
      <c r="B7" s="7" t="s">
        <v>153</v>
      </c>
      <c r="C7" s="7" t="n">
        <v>2011</v>
      </c>
      <c r="D7" s="7" t="s">
        <v>154</v>
      </c>
      <c r="E7" s="7" t="s">
        <v>155</v>
      </c>
      <c r="F7" s="7" t="s">
        <v>156</v>
      </c>
      <c r="G7" s="7" t="s">
        <v>157</v>
      </c>
      <c r="H7" s="7" t="s">
        <v>158</v>
      </c>
      <c r="I7" s="7" t="s">
        <v>159</v>
      </c>
      <c r="J7" s="7"/>
      <c r="K7" s="7" t="s">
        <v>160</v>
      </c>
      <c r="L7" s="7"/>
      <c r="M7" s="7" t="n">
        <v>0</v>
      </c>
      <c r="N7" s="7" t="n">
        <v>0</v>
      </c>
      <c r="O7" s="7" t="n">
        <v>1</v>
      </c>
      <c r="P7" s="7" t="n">
        <v>1</v>
      </c>
      <c r="Q7" s="8" t="n">
        <f aca="false">SUM(M7:P7)</f>
        <v>2</v>
      </c>
      <c r="R7" s="8" t="str">
        <f aca="false">IF(Q7&gt;=3,"Yes","No")</f>
        <v>No</v>
      </c>
      <c r="S7" s="7" t="s">
        <v>161</v>
      </c>
      <c r="T7" s="7"/>
    </row>
    <row r="8" customFormat="false" ht="34.5" hidden="false" customHeight="true" outlineLevel="0" collapsed="false">
      <c r="A8" s="7" t="s">
        <v>162</v>
      </c>
      <c r="B8" s="7" t="s">
        <v>163</v>
      </c>
      <c r="C8" s="7" t="n">
        <v>2011</v>
      </c>
      <c r="D8" s="7" t="s">
        <v>164</v>
      </c>
      <c r="E8" s="7" t="s">
        <v>165</v>
      </c>
      <c r="F8" s="7" t="s">
        <v>166</v>
      </c>
      <c r="G8" s="7" t="s">
        <v>157</v>
      </c>
      <c r="H8" s="7" t="s">
        <v>167</v>
      </c>
      <c r="I8" s="7" t="s">
        <v>168</v>
      </c>
      <c r="J8" s="7" t="s">
        <v>169</v>
      </c>
      <c r="K8" s="7" t="s">
        <v>170</v>
      </c>
      <c r="L8" s="7"/>
      <c r="M8" s="7" t="n">
        <v>1</v>
      </c>
      <c r="N8" s="7" t="n">
        <v>0</v>
      </c>
      <c r="O8" s="7" t="n">
        <v>1</v>
      </c>
      <c r="P8" s="7" t="n">
        <v>1</v>
      </c>
      <c r="Q8" s="8" t="n">
        <f aca="false">SUM(M8:P8)</f>
        <v>3</v>
      </c>
      <c r="R8" s="8" t="str">
        <f aca="false">IF(Q8&gt;=3,"Yes","No")</f>
        <v>Yes</v>
      </c>
      <c r="S8" s="7" t="s">
        <v>171</v>
      </c>
      <c r="T8" s="7"/>
    </row>
    <row r="9" customFormat="false" ht="34.5" hidden="false" customHeight="true" outlineLevel="0" collapsed="false">
      <c r="A9" s="7" t="s">
        <v>172</v>
      </c>
      <c r="B9" s="7" t="s">
        <v>173</v>
      </c>
      <c r="C9" s="7" t="n">
        <v>2011</v>
      </c>
      <c r="D9" s="7" t="s">
        <v>174</v>
      </c>
      <c r="E9" s="7" t="s">
        <v>175</v>
      </c>
      <c r="F9" s="7" t="s">
        <v>176</v>
      </c>
      <c r="G9" s="7" t="s">
        <v>135</v>
      </c>
      <c r="H9" s="7" t="s">
        <v>167</v>
      </c>
      <c r="I9" s="7" t="s">
        <v>168</v>
      </c>
      <c r="J9" s="7"/>
      <c r="K9" s="7" t="s">
        <v>177</v>
      </c>
      <c r="L9" s="7"/>
      <c r="M9" s="7" t="n">
        <v>1</v>
      </c>
      <c r="N9" s="7" t="n">
        <v>1</v>
      </c>
      <c r="O9" s="7" t="n">
        <v>0</v>
      </c>
      <c r="P9" s="7" t="n">
        <v>1</v>
      </c>
      <c r="Q9" s="8" t="n">
        <f aca="false">SUM(M9:P9)</f>
        <v>3</v>
      </c>
      <c r="R9" s="8" t="str">
        <f aca="false">IF(Q9&gt;=3,"Yes","No")</f>
        <v>Yes</v>
      </c>
      <c r="S9" s="7" t="s">
        <v>178</v>
      </c>
      <c r="T9" s="7"/>
    </row>
    <row r="10" customFormat="false" ht="34.5" hidden="false" customHeight="true" outlineLevel="0" collapsed="false">
      <c r="A10" s="7" t="s">
        <v>179</v>
      </c>
      <c r="B10" s="7" t="s">
        <v>180</v>
      </c>
      <c r="C10" s="7" t="n">
        <v>2012</v>
      </c>
      <c r="D10" s="7" t="s">
        <v>181</v>
      </c>
      <c r="E10" s="7" t="s">
        <v>182</v>
      </c>
      <c r="F10" s="7" t="s">
        <v>183</v>
      </c>
      <c r="G10" s="7" t="s">
        <v>157</v>
      </c>
      <c r="H10" s="7" t="s">
        <v>184</v>
      </c>
      <c r="I10" s="7" t="s">
        <v>148</v>
      </c>
      <c r="J10" s="7"/>
      <c r="K10" s="7" t="s">
        <v>185</v>
      </c>
      <c r="L10" s="7" t="s">
        <v>186</v>
      </c>
      <c r="M10" s="7" t="n">
        <v>1</v>
      </c>
      <c r="N10" s="7" t="n">
        <v>1</v>
      </c>
      <c r="O10" s="7" t="n">
        <v>1</v>
      </c>
      <c r="P10" s="7" t="n">
        <v>1</v>
      </c>
      <c r="Q10" s="8" t="n">
        <f aca="false">SUM(M10:P10)</f>
        <v>4</v>
      </c>
      <c r="R10" s="8" t="str">
        <f aca="false">IF(Q10&gt;=3,"Yes","No")</f>
        <v>Yes</v>
      </c>
      <c r="S10" s="7" t="s">
        <v>187</v>
      </c>
      <c r="T10" s="7"/>
    </row>
    <row r="11" customFormat="false" ht="34.5" hidden="false" customHeight="true" outlineLevel="0" collapsed="false">
      <c r="A11" s="7" t="s">
        <v>188</v>
      </c>
      <c r="B11" s="7" t="s">
        <v>189</v>
      </c>
      <c r="C11" s="7" t="n">
        <v>2012</v>
      </c>
      <c r="D11" s="7" t="s">
        <v>190</v>
      </c>
      <c r="E11" s="7" t="s">
        <v>191</v>
      </c>
      <c r="F11" s="7" t="s">
        <v>192</v>
      </c>
      <c r="G11" s="7" t="s">
        <v>157</v>
      </c>
      <c r="H11" s="7" t="s">
        <v>193</v>
      </c>
      <c r="I11" s="7" t="s">
        <v>168</v>
      </c>
      <c r="J11" s="7"/>
      <c r="K11" s="7" t="s">
        <v>194</v>
      </c>
      <c r="L11" s="7"/>
      <c r="M11" s="7" t="n">
        <v>1</v>
      </c>
      <c r="N11" s="7" t="n">
        <v>0</v>
      </c>
      <c r="O11" s="7" t="n">
        <v>0</v>
      </c>
      <c r="P11" s="7" t="n">
        <v>1</v>
      </c>
      <c r="Q11" s="8" t="n">
        <f aca="false">SUM(M11:P11)</f>
        <v>2</v>
      </c>
      <c r="R11" s="8" t="str">
        <f aca="false">IF(Q11&gt;=3,"Yes","No")</f>
        <v>No</v>
      </c>
      <c r="S11" s="7" t="s">
        <v>195</v>
      </c>
      <c r="T11" s="7"/>
    </row>
    <row r="12" customFormat="false" ht="34.5" hidden="false" customHeight="true" outlineLevel="0" collapsed="false">
      <c r="A12" s="7" t="s">
        <v>196</v>
      </c>
      <c r="B12" s="7" t="s">
        <v>197</v>
      </c>
      <c r="C12" s="7" t="n">
        <v>2012</v>
      </c>
      <c r="D12" s="7" t="s">
        <v>198</v>
      </c>
      <c r="E12" s="7" t="s">
        <v>199</v>
      </c>
      <c r="F12" s="7" t="s">
        <v>200</v>
      </c>
      <c r="G12" s="7" t="s">
        <v>157</v>
      </c>
      <c r="H12" s="7" t="s">
        <v>201</v>
      </c>
      <c r="I12" s="7" t="s">
        <v>159</v>
      </c>
      <c r="J12" s="7"/>
      <c r="K12" s="7" t="s">
        <v>202</v>
      </c>
      <c r="L12" s="7"/>
      <c r="M12" s="7" t="n">
        <v>1</v>
      </c>
      <c r="N12" s="7" t="n">
        <v>0</v>
      </c>
      <c r="O12" s="7" t="n">
        <v>0</v>
      </c>
      <c r="P12" s="7" t="n">
        <v>1</v>
      </c>
      <c r="Q12" s="8" t="n">
        <f aca="false">SUM(M12:P12)</f>
        <v>2</v>
      </c>
      <c r="R12" s="8" t="str">
        <f aca="false">IF(Q12&gt;=3,"Yes","No")</f>
        <v>No</v>
      </c>
      <c r="S12" s="7" t="s">
        <v>203</v>
      </c>
      <c r="T12" s="7"/>
    </row>
    <row r="13" customFormat="false" ht="34.5" hidden="false" customHeight="true" outlineLevel="0" collapsed="false">
      <c r="A13" s="7" t="s">
        <v>204</v>
      </c>
      <c r="B13" s="7" t="s">
        <v>205</v>
      </c>
      <c r="C13" s="7" t="n">
        <v>2012</v>
      </c>
      <c r="D13" s="7" t="s">
        <v>206</v>
      </c>
      <c r="E13" s="7" t="s">
        <v>207</v>
      </c>
      <c r="F13" s="7" t="s">
        <v>208</v>
      </c>
      <c r="G13" s="7" t="s">
        <v>157</v>
      </c>
      <c r="H13" s="7" t="s">
        <v>209</v>
      </c>
      <c r="I13" s="7" t="s">
        <v>137</v>
      </c>
      <c r="J13" s="7" t="s">
        <v>210</v>
      </c>
      <c r="K13" s="7" t="s">
        <v>211</v>
      </c>
      <c r="L13" s="7"/>
      <c r="M13" s="7" t="n">
        <v>1</v>
      </c>
      <c r="N13" s="7" t="n">
        <v>0</v>
      </c>
      <c r="O13" s="7" t="n">
        <v>1</v>
      </c>
      <c r="P13" s="7" t="n">
        <v>1</v>
      </c>
      <c r="Q13" s="8" t="n">
        <f aca="false">SUM(M13:P13)</f>
        <v>3</v>
      </c>
      <c r="R13" s="8" t="str">
        <f aca="false">IF(Q13&gt;=3,"Yes","No")</f>
        <v>Yes</v>
      </c>
      <c r="S13" s="7" t="s">
        <v>212</v>
      </c>
      <c r="T13" s="7"/>
    </row>
    <row r="14" customFormat="false" ht="34.5" hidden="false" customHeight="true" outlineLevel="0" collapsed="false">
      <c r="A14" s="7" t="s">
        <v>213</v>
      </c>
      <c r="B14" s="7" t="s">
        <v>214</v>
      </c>
      <c r="C14" s="7" t="n">
        <v>2013</v>
      </c>
      <c r="D14" s="7" t="s">
        <v>215</v>
      </c>
      <c r="E14" s="7" t="s">
        <v>216</v>
      </c>
      <c r="F14" s="7" t="s">
        <v>217</v>
      </c>
      <c r="G14" s="7" t="s">
        <v>157</v>
      </c>
      <c r="H14" s="7" t="s">
        <v>218</v>
      </c>
      <c r="I14" s="7" t="s">
        <v>137</v>
      </c>
      <c r="J14" s="7" t="s">
        <v>219</v>
      </c>
      <c r="K14" s="7" t="s">
        <v>220</v>
      </c>
      <c r="L14" s="7" t="s">
        <v>221</v>
      </c>
      <c r="M14" s="7" t="n">
        <v>1</v>
      </c>
      <c r="N14" s="7" t="n">
        <v>1</v>
      </c>
      <c r="O14" s="7" t="n">
        <v>1</v>
      </c>
      <c r="P14" s="7" t="n">
        <v>1</v>
      </c>
      <c r="Q14" s="8" t="n">
        <f aca="false">SUM(M14:P14)</f>
        <v>4</v>
      </c>
      <c r="R14" s="8" t="str">
        <f aca="false">IF(Q14&gt;=3,"Yes","No")</f>
        <v>Yes</v>
      </c>
      <c r="S14" s="7" t="s">
        <v>222</v>
      </c>
      <c r="T14" s="7"/>
    </row>
    <row r="15" customFormat="false" ht="34.5" hidden="false" customHeight="true" outlineLevel="0" collapsed="false">
      <c r="A15" s="7" t="s">
        <v>223</v>
      </c>
      <c r="B15" s="7" t="s">
        <v>224</v>
      </c>
      <c r="C15" s="7" t="n">
        <v>2013</v>
      </c>
      <c r="D15" s="7" t="s">
        <v>225</v>
      </c>
      <c r="E15" s="7" t="s">
        <v>226</v>
      </c>
      <c r="F15" s="7" t="s">
        <v>227</v>
      </c>
      <c r="G15" s="7" t="s">
        <v>135</v>
      </c>
      <c r="H15" s="7" t="s">
        <v>228</v>
      </c>
      <c r="I15" s="7" t="s">
        <v>148</v>
      </c>
      <c r="J15" s="7" t="s">
        <v>229</v>
      </c>
      <c r="K15" s="7" t="s">
        <v>177</v>
      </c>
      <c r="L15" s="7"/>
      <c r="M15" s="7" t="n">
        <v>0</v>
      </c>
      <c r="N15" s="7" t="n">
        <v>1</v>
      </c>
      <c r="O15" s="7" t="n">
        <v>1</v>
      </c>
      <c r="P15" s="7" t="n">
        <v>1</v>
      </c>
      <c r="Q15" s="8" t="n">
        <f aca="false">SUM(M15:P15)</f>
        <v>3</v>
      </c>
      <c r="R15" s="8" t="str">
        <f aca="false">IF(Q15&gt;=3,"Yes","No")</f>
        <v>Yes</v>
      </c>
      <c r="S15" s="7" t="s">
        <v>230</v>
      </c>
      <c r="T15" s="7" t="s">
        <v>231</v>
      </c>
    </row>
    <row r="16" customFormat="false" ht="34.5" hidden="false" customHeight="true" outlineLevel="0" collapsed="false">
      <c r="A16" s="7" t="s">
        <v>232</v>
      </c>
      <c r="B16" s="7" t="s">
        <v>233</v>
      </c>
      <c r="C16" s="7" t="n">
        <v>2013</v>
      </c>
      <c r="D16" s="7" t="s">
        <v>234</v>
      </c>
      <c r="E16" s="7" t="s">
        <v>235</v>
      </c>
      <c r="F16" s="7" t="s">
        <v>236</v>
      </c>
      <c r="G16" s="7" t="s">
        <v>146</v>
      </c>
      <c r="H16" s="7" t="s">
        <v>209</v>
      </c>
      <c r="I16" s="7" t="s">
        <v>137</v>
      </c>
      <c r="J16" s="7" t="s">
        <v>237</v>
      </c>
      <c r="K16" s="7" t="s">
        <v>238</v>
      </c>
      <c r="L16" s="7" t="s">
        <v>239</v>
      </c>
      <c r="M16" s="7" t="n">
        <v>0</v>
      </c>
      <c r="N16" s="7" t="n">
        <v>1</v>
      </c>
      <c r="O16" s="7" t="n">
        <v>0</v>
      </c>
      <c r="P16" s="7" t="n">
        <v>1</v>
      </c>
      <c r="Q16" s="8" t="n">
        <f aca="false">SUM(M16:P16)</f>
        <v>2</v>
      </c>
      <c r="R16" s="8" t="str">
        <f aca="false">IF(Q16&gt;=3,"Yes","No")</f>
        <v>No</v>
      </c>
      <c r="S16" s="7" t="s">
        <v>240</v>
      </c>
      <c r="T16" s="7" t="s">
        <v>241</v>
      </c>
    </row>
    <row r="17" customFormat="false" ht="45.75" hidden="false" customHeight="true" outlineLevel="0" collapsed="false">
      <c r="A17" s="7" t="s">
        <v>242</v>
      </c>
      <c r="B17" s="7" t="s">
        <v>243</v>
      </c>
      <c r="C17" s="7" t="n">
        <v>2013</v>
      </c>
      <c r="D17" s="7" t="s">
        <v>244</v>
      </c>
      <c r="E17" s="7" t="s">
        <v>107</v>
      </c>
      <c r="F17" s="7" t="s">
        <v>245</v>
      </c>
      <c r="G17" s="7" t="s">
        <v>135</v>
      </c>
      <c r="H17" s="7" t="s">
        <v>246</v>
      </c>
      <c r="I17" s="7" t="s">
        <v>137</v>
      </c>
      <c r="J17" s="7" t="s">
        <v>247</v>
      </c>
      <c r="K17" s="7" t="s">
        <v>248</v>
      </c>
      <c r="L17" s="7" t="s">
        <v>221</v>
      </c>
      <c r="M17" s="7" t="n">
        <v>0</v>
      </c>
      <c r="N17" s="7" t="n">
        <v>1</v>
      </c>
      <c r="O17" s="7" t="n">
        <v>1</v>
      </c>
      <c r="P17" s="7" t="n">
        <v>1</v>
      </c>
      <c r="Q17" s="8" t="n">
        <f aca="false">SUM(M17:P17)</f>
        <v>3</v>
      </c>
      <c r="R17" s="8" t="str">
        <f aca="false">IF(Q17&gt;=3,"Yes","No")</f>
        <v>Yes</v>
      </c>
      <c r="S17" s="7" t="s">
        <v>249</v>
      </c>
      <c r="T17" s="7"/>
    </row>
    <row r="18" customFormat="false" ht="34.5" hidden="false" customHeight="true" outlineLevel="0" collapsed="false">
      <c r="A18" s="7" t="s">
        <v>250</v>
      </c>
      <c r="B18" s="7" t="s">
        <v>251</v>
      </c>
      <c r="C18" s="7" t="n">
        <v>2014</v>
      </c>
      <c r="D18" s="7" t="s">
        <v>252</v>
      </c>
      <c r="E18" s="7" t="s">
        <v>253</v>
      </c>
      <c r="F18" s="7" t="s">
        <v>254</v>
      </c>
      <c r="G18" s="7" t="s">
        <v>157</v>
      </c>
      <c r="H18" s="7" t="s">
        <v>255</v>
      </c>
      <c r="I18" s="7" t="s">
        <v>168</v>
      </c>
      <c r="J18" s="7" t="s">
        <v>256</v>
      </c>
      <c r="K18" s="7" t="s">
        <v>160</v>
      </c>
      <c r="L18" s="7"/>
      <c r="M18" s="7" t="n">
        <v>1</v>
      </c>
      <c r="N18" s="7" t="n">
        <v>1</v>
      </c>
      <c r="O18" s="7" t="n">
        <v>1</v>
      </c>
      <c r="P18" s="7" t="n">
        <v>1</v>
      </c>
      <c r="Q18" s="8" t="n">
        <f aca="false">SUM(M18:P18)</f>
        <v>4</v>
      </c>
      <c r="R18" s="8" t="str">
        <f aca="false">IF(Q18&gt;=3,"Yes","No")</f>
        <v>Yes</v>
      </c>
      <c r="S18" s="7" t="s">
        <v>257</v>
      </c>
      <c r="T18" s="7"/>
    </row>
    <row r="19" customFormat="false" ht="34.5" hidden="false" customHeight="true" outlineLevel="0" collapsed="false">
      <c r="A19" s="7" t="s">
        <v>258</v>
      </c>
      <c r="B19" s="7" t="s">
        <v>224</v>
      </c>
      <c r="C19" s="7" t="n">
        <v>2014</v>
      </c>
      <c r="D19" s="7" t="s">
        <v>259</v>
      </c>
      <c r="E19" s="7" t="s">
        <v>260</v>
      </c>
      <c r="F19" s="7" t="s">
        <v>261</v>
      </c>
      <c r="G19" s="7" t="s">
        <v>157</v>
      </c>
      <c r="H19" s="7" t="s">
        <v>228</v>
      </c>
      <c r="I19" s="7" t="s">
        <v>148</v>
      </c>
      <c r="J19" s="7" t="s">
        <v>262</v>
      </c>
      <c r="K19" s="7" t="s">
        <v>263</v>
      </c>
      <c r="L19" s="7"/>
      <c r="M19" s="7" t="n">
        <v>0</v>
      </c>
      <c r="N19" s="7" t="n">
        <v>1</v>
      </c>
      <c r="O19" s="7" t="n">
        <v>1</v>
      </c>
      <c r="P19" s="7" t="n">
        <v>1</v>
      </c>
      <c r="Q19" s="8" t="n">
        <f aca="false">SUM(M19:P19)</f>
        <v>3</v>
      </c>
      <c r="R19" s="8" t="str">
        <f aca="false">IF(Q19&gt;=3,"Yes","No")</f>
        <v>Yes</v>
      </c>
      <c r="S19" s="7" t="s">
        <v>264</v>
      </c>
      <c r="T19" s="7"/>
    </row>
    <row r="20" customFormat="false" ht="34.5" hidden="false" customHeight="true" outlineLevel="0" collapsed="false">
      <c r="A20" s="7" t="s">
        <v>265</v>
      </c>
      <c r="B20" s="7" t="s">
        <v>266</v>
      </c>
      <c r="C20" s="7" t="n">
        <v>2014</v>
      </c>
      <c r="D20" s="7" t="s">
        <v>267</v>
      </c>
      <c r="E20" s="7" t="s">
        <v>155</v>
      </c>
      <c r="F20" s="7" t="s">
        <v>268</v>
      </c>
      <c r="G20" s="7" t="s">
        <v>135</v>
      </c>
      <c r="H20" s="7" t="s">
        <v>269</v>
      </c>
      <c r="I20" s="7" t="s">
        <v>270</v>
      </c>
      <c r="J20" s="7"/>
      <c r="K20" s="7" t="s">
        <v>150</v>
      </c>
      <c r="L20" s="7"/>
      <c r="M20" s="7" t="n">
        <v>0</v>
      </c>
      <c r="N20" s="7" t="n">
        <v>0</v>
      </c>
      <c r="O20" s="7" t="n">
        <v>1</v>
      </c>
      <c r="P20" s="7" t="n">
        <v>0</v>
      </c>
      <c r="Q20" s="8" t="n">
        <f aca="false">SUM(M20:P20)</f>
        <v>1</v>
      </c>
      <c r="R20" s="8" t="str">
        <f aca="false">IF(Q20&gt;=3,"Yes","No")</f>
        <v>No</v>
      </c>
      <c r="S20" s="7" t="s">
        <v>271</v>
      </c>
      <c r="T20" s="7"/>
    </row>
    <row r="21" customFormat="false" ht="23.25" hidden="false" customHeight="true" outlineLevel="0" collapsed="false">
      <c r="A21" s="7" t="s">
        <v>272</v>
      </c>
      <c r="B21" s="7" t="s">
        <v>273</v>
      </c>
      <c r="C21" s="7" t="n">
        <v>2014</v>
      </c>
      <c r="D21" s="7" t="s">
        <v>274</v>
      </c>
      <c r="E21" s="7" t="s">
        <v>275</v>
      </c>
      <c r="F21" s="7" t="s">
        <v>276</v>
      </c>
      <c r="G21" s="7" t="s">
        <v>157</v>
      </c>
      <c r="H21" s="7" t="s">
        <v>277</v>
      </c>
      <c r="I21" s="7" t="s">
        <v>278</v>
      </c>
      <c r="J21" s="7" t="s">
        <v>279</v>
      </c>
      <c r="K21" s="7" t="s">
        <v>280</v>
      </c>
      <c r="L21" s="7" t="s">
        <v>281</v>
      </c>
      <c r="M21" s="7" t="n">
        <v>1</v>
      </c>
      <c r="N21" s="7" t="n">
        <v>1</v>
      </c>
      <c r="O21" s="7" t="n">
        <v>0</v>
      </c>
      <c r="P21" s="7" t="n">
        <v>1</v>
      </c>
      <c r="Q21" s="8" t="n">
        <f aca="false">SUM(M21:P21)</f>
        <v>3</v>
      </c>
      <c r="R21" s="8" t="str">
        <f aca="false">IF(Q21&gt;=3,"Yes","No")</f>
        <v>Yes</v>
      </c>
      <c r="S21" s="7" t="s">
        <v>282</v>
      </c>
      <c r="T21" s="7"/>
    </row>
    <row r="22" customFormat="false" ht="34.5" hidden="false" customHeight="true" outlineLevel="0" collapsed="false">
      <c r="A22" s="7" t="s">
        <v>283</v>
      </c>
      <c r="B22" s="7" t="s">
        <v>284</v>
      </c>
      <c r="C22" s="7" t="n">
        <v>2014</v>
      </c>
      <c r="D22" s="7" t="s">
        <v>285</v>
      </c>
      <c r="E22" s="7" t="s">
        <v>286</v>
      </c>
      <c r="F22" s="7" t="s">
        <v>287</v>
      </c>
      <c r="G22" s="7" t="s">
        <v>157</v>
      </c>
      <c r="H22" s="7" t="s">
        <v>147</v>
      </c>
      <c r="I22" s="7" t="s">
        <v>148</v>
      </c>
      <c r="J22" s="7" t="s">
        <v>288</v>
      </c>
      <c r="K22" s="7" t="s">
        <v>289</v>
      </c>
      <c r="L22" s="7"/>
      <c r="M22" s="7" t="n">
        <v>0</v>
      </c>
      <c r="N22" s="7" t="n">
        <v>1</v>
      </c>
      <c r="O22" s="7" t="n">
        <v>1</v>
      </c>
      <c r="P22" s="7" t="n">
        <v>1</v>
      </c>
      <c r="Q22" s="8" t="n">
        <f aca="false">SUM(M22:P22)</f>
        <v>3</v>
      </c>
      <c r="R22" s="8" t="str">
        <f aca="false">IF(Q22&gt;=3,"Yes","No")</f>
        <v>Yes</v>
      </c>
      <c r="S22" s="7" t="s">
        <v>290</v>
      </c>
      <c r="T22" s="7"/>
    </row>
    <row r="23" customFormat="false" ht="23.25" hidden="false" customHeight="true" outlineLevel="0" collapsed="false">
      <c r="A23" s="7" t="s">
        <v>291</v>
      </c>
      <c r="B23" s="7" t="s">
        <v>292</v>
      </c>
      <c r="C23" s="7" t="n">
        <v>2015</v>
      </c>
      <c r="D23" s="7" t="s">
        <v>293</v>
      </c>
      <c r="E23" s="7" t="s">
        <v>294</v>
      </c>
      <c r="F23" s="7" t="s">
        <v>295</v>
      </c>
      <c r="G23" s="7" t="s">
        <v>157</v>
      </c>
      <c r="H23" s="7" t="s">
        <v>296</v>
      </c>
      <c r="I23" s="7" t="s">
        <v>159</v>
      </c>
      <c r="J23" s="7"/>
      <c r="K23" s="7" t="s">
        <v>150</v>
      </c>
      <c r="L23" s="7"/>
      <c r="M23" s="7" t="n">
        <v>0</v>
      </c>
      <c r="N23" s="7" t="n">
        <v>0</v>
      </c>
      <c r="O23" s="7" t="n">
        <v>1</v>
      </c>
      <c r="P23" s="7" t="n">
        <v>0</v>
      </c>
      <c r="Q23" s="8" t="n">
        <f aca="false">SUM(M23:P23)</f>
        <v>1</v>
      </c>
      <c r="R23" s="8" t="str">
        <f aca="false">IF(Q23&gt;=3,"Yes","No")</f>
        <v>No</v>
      </c>
      <c r="S23" s="7" t="s">
        <v>297</v>
      </c>
      <c r="T23" s="7"/>
    </row>
    <row r="24" customFormat="false" ht="34.5" hidden="false" customHeight="true" outlineLevel="0" collapsed="false">
      <c r="A24" s="7" t="s">
        <v>298</v>
      </c>
      <c r="B24" s="7" t="s">
        <v>299</v>
      </c>
      <c r="C24" s="7" t="n">
        <v>2015</v>
      </c>
      <c r="D24" s="7" t="s">
        <v>300</v>
      </c>
      <c r="E24" s="7" t="s">
        <v>97</v>
      </c>
      <c r="F24" s="7" t="s">
        <v>301</v>
      </c>
      <c r="G24" s="7" t="s">
        <v>135</v>
      </c>
      <c r="H24" s="7" t="s">
        <v>147</v>
      </c>
      <c r="I24" s="7" t="s">
        <v>148</v>
      </c>
      <c r="J24" s="7"/>
      <c r="K24" s="7" t="s">
        <v>150</v>
      </c>
      <c r="L24" s="7"/>
      <c r="M24" s="7" t="n">
        <v>1</v>
      </c>
      <c r="N24" s="7" t="n">
        <v>1</v>
      </c>
      <c r="O24" s="7" t="n">
        <v>1</v>
      </c>
      <c r="P24" s="7" t="n">
        <v>1</v>
      </c>
      <c r="Q24" s="8" t="n">
        <f aca="false">SUM(M24:P24)</f>
        <v>4</v>
      </c>
      <c r="R24" s="8" t="str">
        <f aca="false">IF(Q24&gt;=3,"Yes","No")</f>
        <v>Yes</v>
      </c>
      <c r="S24" s="7" t="s">
        <v>302</v>
      </c>
      <c r="T24" s="7"/>
    </row>
    <row r="25" customFormat="false" ht="23.25" hidden="false" customHeight="true" outlineLevel="0" collapsed="false">
      <c r="A25" s="7" t="s">
        <v>303</v>
      </c>
      <c r="B25" s="7" t="s">
        <v>304</v>
      </c>
      <c r="C25" s="7" t="n">
        <v>2015</v>
      </c>
      <c r="D25" s="7" t="s">
        <v>305</v>
      </c>
      <c r="E25" s="7" t="s">
        <v>306</v>
      </c>
      <c r="F25" s="7" t="s">
        <v>307</v>
      </c>
      <c r="G25" s="7" t="s">
        <v>135</v>
      </c>
      <c r="H25" s="7" t="s">
        <v>308</v>
      </c>
      <c r="I25" s="7" t="s">
        <v>159</v>
      </c>
      <c r="J25" s="7" t="s">
        <v>309</v>
      </c>
      <c r="K25" s="7" t="s">
        <v>150</v>
      </c>
      <c r="L25" s="7"/>
      <c r="M25" s="7" t="n">
        <v>1</v>
      </c>
      <c r="N25" s="7" t="n">
        <v>0</v>
      </c>
      <c r="O25" s="7" t="n">
        <v>1</v>
      </c>
      <c r="P25" s="7" t="n">
        <v>1</v>
      </c>
      <c r="Q25" s="8" t="n">
        <f aca="false">SUM(M25:P25)</f>
        <v>3</v>
      </c>
      <c r="R25" s="8" t="str">
        <f aca="false">IF(Q25&gt;=3,"Yes","No")</f>
        <v>Yes</v>
      </c>
      <c r="S25" s="7" t="s">
        <v>310</v>
      </c>
      <c r="T25" s="7"/>
    </row>
    <row r="26" customFormat="false" ht="34.5" hidden="false" customHeight="true" outlineLevel="0" collapsed="false">
      <c r="A26" s="7" t="s">
        <v>311</v>
      </c>
      <c r="B26" s="7" t="s">
        <v>312</v>
      </c>
      <c r="C26" s="7" t="n">
        <v>2015</v>
      </c>
      <c r="D26" s="7" t="s">
        <v>313</v>
      </c>
      <c r="E26" s="7" t="s">
        <v>107</v>
      </c>
      <c r="F26" s="7" t="s">
        <v>314</v>
      </c>
      <c r="G26" s="7" t="s">
        <v>157</v>
      </c>
      <c r="H26" s="7" t="s">
        <v>277</v>
      </c>
      <c r="I26" s="7" t="s">
        <v>278</v>
      </c>
      <c r="J26" s="7" t="s">
        <v>315</v>
      </c>
      <c r="K26" s="7" t="s">
        <v>316</v>
      </c>
      <c r="L26" s="7"/>
      <c r="M26" s="7" t="n">
        <v>1</v>
      </c>
      <c r="N26" s="7" t="n">
        <v>1</v>
      </c>
      <c r="O26" s="7" t="n">
        <v>1</v>
      </c>
      <c r="P26" s="7" t="n">
        <v>1</v>
      </c>
      <c r="Q26" s="8" t="n">
        <f aca="false">SUM(M26:P26)</f>
        <v>4</v>
      </c>
      <c r="R26" s="8" t="str">
        <f aca="false">IF(Q26&gt;=3,"Yes","No")</f>
        <v>Yes</v>
      </c>
      <c r="S26" s="7" t="s">
        <v>317</v>
      </c>
      <c r="T26" s="7"/>
    </row>
    <row r="27" customFormat="false" ht="45.75" hidden="false" customHeight="true" outlineLevel="0" collapsed="false">
      <c r="A27" s="7" t="s">
        <v>318</v>
      </c>
      <c r="B27" s="7" t="s">
        <v>319</v>
      </c>
      <c r="C27" s="7" t="n">
        <v>2015</v>
      </c>
      <c r="D27" s="7" t="s">
        <v>320</v>
      </c>
      <c r="E27" s="7" t="s">
        <v>321</v>
      </c>
      <c r="F27" s="7" t="s">
        <v>322</v>
      </c>
      <c r="G27" s="7" t="s">
        <v>135</v>
      </c>
      <c r="H27" s="7" t="s">
        <v>228</v>
      </c>
      <c r="I27" s="7" t="s">
        <v>148</v>
      </c>
      <c r="J27" s="7"/>
      <c r="K27" s="7" t="s">
        <v>323</v>
      </c>
      <c r="L27" s="7"/>
      <c r="M27" s="7" t="n">
        <v>1</v>
      </c>
      <c r="N27" s="7" t="n">
        <v>0</v>
      </c>
      <c r="O27" s="7" t="n">
        <v>1</v>
      </c>
      <c r="P27" s="7" t="n">
        <v>1</v>
      </c>
      <c r="Q27" s="8" t="n">
        <f aca="false">SUM(M27:P27)</f>
        <v>3</v>
      </c>
      <c r="R27" s="8" t="str">
        <f aca="false">IF(Q27&gt;=3,"Yes","No")</f>
        <v>Yes</v>
      </c>
      <c r="S27" s="7" t="s">
        <v>324</v>
      </c>
      <c r="T27" s="7"/>
    </row>
    <row r="28" customFormat="false" ht="34.5" hidden="false" customHeight="true" outlineLevel="0" collapsed="false">
      <c r="A28" s="7" t="s">
        <v>325</v>
      </c>
      <c r="B28" s="7" t="s">
        <v>326</v>
      </c>
      <c r="C28" s="7" t="n">
        <v>2015</v>
      </c>
      <c r="D28" s="7" t="s">
        <v>327</v>
      </c>
      <c r="E28" s="7" t="s">
        <v>328</v>
      </c>
      <c r="F28" s="7"/>
      <c r="G28" s="7" t="s">
        <v>146</v>
      </c>
      <c r="H28" s="7" t="s">
        <v>329</v>
      </c>
      <c r="I28" s="7" t="s">
        <v>137</v>
      </c>
      <c r="J28" s="7" t="s">
        <v>330</v>
      </c>
      <c r="K28" s="7" t="s">
        <v>202</v>
      </c>
      <c r="L28" s="7"/>
      <c r="M28" s="7" t="n">
        <v>1</v>
      </c>
      <c r="N28" s="7" t="n">
        <v>0</v>
      </c>
      <c r="O28" s="7" t="n">
        <v>1</v>
      </c>
      <c r="P28" s="7" t="n">
        <v>1</v>
      </c>
      <c r="Q28" s="8" t="n">
        <f aca="false">SUM(M28:P28)</f>
        <v>3</v>
      </c>
      <c r="R28" s="8" t="str">
        <f aca="false">IF(Q28&gt;=3,"Yes","No")</f>
        <v>Yes</v>
      </c>
      <c r="S28" s="7" t="s">
        <v>331</v>
      </c>
      <c r="T28" s="7"/>
    </row>
    <row r="29" customFormat="false" ht="34.5" hidden="false" customHeight="true" outlineLevel="0" collapsed="false">
      <c r="A29" s="7" t="s">
        <v>332</v>
      </c>
      <c r="B29" s="7" t="s">
        <v>333</v>
      </c>
      <c r="C29" s="7" t="n">
        <v>2015</v>
      </c>
      <c r="D29" s="7" t="s">
        <v>334</v>
      </c>
      <c r="E29" s="7" t="s">
        <v>207</v>
      </c>
      <c r="F29" s="7" t="s">
        <v>335</v>
      </c>
      <c r="G29" s="7" t="s">
        <v>157</v>
      </c>
      <c r="H29" s="7" t="s">
        <v>336</v>
      </c>
      <c r="I29" s="7" t="s">
        <v>137</v>
      </c>
      <c r="J29" s="7"/>
      <c r="K29" s="7" t="s">
        <v>337</v>
      </c>
      <c r="L29" s="7" t="s">
        <v>239</v>
      </c>
      <c r="M29" s="7" t="n">
        <v>1</v>
      </c>
      <c r="N29" s="7" t="n">
        <v>1</v>
      </c>
      <c r="O29" s="7" t="n">
        <v>0</v>
      </c>
      <c r="P29" s="7" t="n">
        <v>1</v>
      </c>
      <c r="Q29" s="8" t="n">
        <f aca="false">SUM(M29:P29)</f>
        <v>3</v>
      </c>
      <c r="R29" s="8" t="str">
        <f aca="false">IF(Q29&gt;=3,"Yes","No")</f>
        <v>Yes</v>
      </c>
      <c r="S29" s="7" t="s">
        <v>338</v>
      </c>
      <c r="T29" s="7"/>
    </row>
    <row r="30" customFormat="false" ht="34.5" hidden="false" customHeight="true" outlineLevel="0" collapsed="false">
      <c r="A30" s="7" t="s">
        <v>339</v>
      </c>
      <c r="B30" s="7" t="s">
        <v>340</v>
      </c>
      <c r="C30" s="7" t="n">
        <v>2015</v>
      </c>
      <c r="D30" s="7" t="s">
        <v>341</v>
      </c>
      <c r="E30" s="7" t="s">
        <v>199</v>
      </c>
      <c r="F30" s="7" t="s">
        <v>342</v>
      </c>
      <c r="G30" s="7" t="s">
        <v>157</v>
      </c>
      <c r="H30" s="7" t="s">
        <v>343</v>
      </c>
      <c r="I30" s="7" t="s">
        <v>270</v>
      </c>
      <c r="J30" s="7" t="s">
        <v>344</v>
      </c>
      <c r="K30" s="7" t="s">
        <v>345</v>
      </c>
      <c r="L30" s="7"/>
      <c r="M30" s="7" t="n">
        <v>0</v>
      </c>
      <c r="N30" s="7" t="n">
        <v>0</v>
      </c>
      <c r="O30" s="7" t="n">
        <v>1</v>
      </c>
      <c r="P30" s="7" t="n">
        <v>1</v>
      </c>
      <c r="Q30" s="8" t="n">
        <f aca="false">SUM(M30:P30)</f>
        <v>2</v>
      </c>
      <c r="R30" s="8" t="str">
        <f aca="false">IF(Q30&gt;=3,"Yes","No")</f>
        <v>No</v>
      </c>
      <c r="S30" s="7" t="s">
        <v>346</v>
      </c>
      <c r="T30" s="7"/>
    </row>
    <row r="31" customFormat="false" ht="57" hidden="false" customHeight="true" outlineLevel="0" collapsed="false">
      <c r="A31" s="7" t="s">
        <v>347</v>
      </c>
      <c r="B31" s="7" t="s">
        <v>348</v>
      </c>
      <c r="C31" s="7" t="n">
        <v>2016</v>
      </c>
      <c r="D31" s="7" t="s">
        <v>349</v>
      </c>
      <c r="E31" s="7" t="s">
        <v>321</v>
      </c>
      <c r="F31" s="7" t="s">
        <v>350</v>
      </c>
      <c r="G31" s="7" t="s">
        <v>135</v>
      </c>
      <c r="H31" s="7" t="s">
        <v>228</v>
      </c>
      <c r="I31" s="7" t="s">
        <v>148</v>
      </c>
      <c r="J31" s="7"/>
      <c r="K31" s="7" t="s">
        <v>323</v>
      </c>
      <c r="L31" s="7"/>
      <c r="M31" s="7" t="n">
        <v>1</v>
      </c>
      <c r="N31" s="7" t="n">
        <v>0</v>
      </c>
      <c r="O31" s="7" t="n">
        <v>1</v>
      </c>
      <c r="P31" s="7" t="n">
        <v>1</v>
      </c>
      <c r="Q31" s="8" t="n">
        <f aca="false">SUM(M31:P31)</f>
        <v>3</v>
      </c>
      <c r="R31" s="8" t="str">
        <f aca="false">IF(Q31&gt;=3,"Yes","No")</f>
        <v>Yes</v>
      </c>
      <c r="S31" s="7" t="s">
        <v>351</v>
      </c>
      <c r="T31" s="7" t="s">
        <v>352</v>
      </c>
    </row>
    <row r="32" customFormat="false" ht="34.5" hidden="false" customHeight="true" outlineLevel="0" collapsed="false">
      <c r="A32" s="7" t="s">
        <v>353</v>
      </c>
      <c r="B32" s="7" t="s">
        <v>354</v>
      </c>
      <c r="C32" s="7" t="n">
        <v>2016</v>
      </c>
      <c r="D32" s="7" t="s">
        <v>355</v>
      </c>
      <c r="E32" s="7" t="s">
        <v>356</v>
      </c>
      <c r="F32" s="7" t="s">
        <v>357</v>
      </c>
      <c r="G32" s="7" t="s">
        <v>146</v>
      </c>
      <c r="H32" s="7" t="s">
        <v>336</v>
      </c>
      <c r="I32" s="7" t="s">
        <v>137</v>
      </c>
      <c r="J32" s="7"/>
      <c r="K32" s="7" t="s">
        <v>358</v>
      </c>
      <c r="L32" s="7"/>
      <c r="M32" s="7" t="n">
        <v>0</v>
      </c>
      <c r="N32" s="7" t="n">
        <v>0</v>
      </c>
      <c r="O32" s="7" t="n">
        <v>0</v>
      </c>
      <c r="P32" s="7" t="n">
        <v>0</v>
      </c>
      <c r="Q32" s="8" t="n">
        <f aca="false">SUM(M32:P32)</f>
        <v>0</v>
      </c>
      <c r="R32" s="8" t="str">
        <f aca="false">IF(Q32&gt;=3,"Yes","No")</f>
        <v>No</v>
      </c>
      <c r="S32" s="7" t="s">
        <v>359</v>
      </c>
      <c r="T32" s="7"/>
    </row>
    <row r="33" customFormat="false" ht="34.5" hidden="false" customHeight="true" outlineLevel="0" collapsed="false">
      <c r="A33" s="7" t="s">
        <v>360</v>
      </c>
      <c r="B33" s="7" t="s">
        <v>361</v>
      </c>
      <c r="C33" s="7" t="n">
        <v>2016</v>
      </c>
      <c r="D33" s="7" t="s">
        <v>362</v>
      </c>
      <c r="E33" s="7" t="s">
        <v>363</v>
      </c>
      <c r="F33" s="7" t="s">
        <v>364</v>
      </c>
      <c r="G33" s="7" t="s">
        <v>157</v>
      </c>
      <c r="H33" s="7" t="s">
        <v>228</v>
      </c>
      <c r="I33" s="7" t="s">
        <v>148</v>
      </c>
      <c r="J33" s="7" t="s">
        <v>365</v>
      </c>
      <c r="K33" s="7" t="s">
        <v>289</v>
      </c>
      <c r="L33" s="7"/>
      <c r="M33" s="7" t="n">
        <v>0</v>
      </c>
      <c r="N33" s="7" t="n">
        <v>0</v>
      </c>
      <c r="O33" s="7" t="n">
        <v>0</v>
      </c>
      <c r="P33" s="7" t="n">
        <v>1</v>
      </c>
      <c r="Q33" s="8" t="n">
        <f aca="false">SUM(M33:P33)</f>
        <v>1</v>
      </c>
      <c r="R33" s="8" t="str">
        <f aca="false">IF(Q33&gt;=3,"Yes","No")</f>
        <v>No</v>
      </c>
      <c r="S33" s="7" t="s">
        <v>366</v>
      </c>
      <c r="T33" s="7"/>
    </row>
    <row r="34" customFormat="false" ht="34.5" hidden="false" customHeight="true" outlineLevel="0" collapsed="false">
      <c r="A34" s="7" t="s">
        <v>367</v>
      </c>
      <c r="B34" s="7" t="s">
        <v>368</v>
      </c>
      <c r="C34" s="7" t="n">
        <v>2016</v>
      </c>
      <c r="D34" s="7" t="s">
        <v>369</v>
      </c>
      <c r="E34" s="7" t="s">
        <v>370</v>
      </c>
      <c r="F34" s="7" t="s">
        <v>371</v>
      </c>
      <c r="G34" s="7" t="s">
        <v>157</v>
      </c>
      <c r="H34" s="7" t="s">
        <v>372</v>
      </c>
      <c r="I34" s="7" t="s">
        <v>148</v>
      </c>
      <c r="J34" s="7" t="s">
        <v>373</v>
      </c>
      <c r="K34" s="7" t="s">
        <v>374</v>
      </c>
      <c r="L34" s="7"/>
      <c r="M34" s="7" t="n">
        <v>1</v>
      </c>
      <c r="N34" s="7" t="n">
        <v>0</v>
      </c>
      <c r="O34" s="7" t="n">
        <v>1</v>
      </c>
      <c r="P34" s="7" t="n">
        <v>1</v>
      </c>
      <c r="Q34" s="8" t="n">
        <f aca="false">SUM(M34:P34)</f>
        <v>3</v>
      </c>
      <c r="R34" s="8" t="str">
        <f aca="false">IF(Q34&gt;=3,"Yes","No")</f>
        <v>Yes</v>
      </c>
      <c r="S34" s="7" t="s">
        <v>375</v>
      </c>
      <c r="T34" s="7"/>
    </row>
    <row r="35" customFormat="false" ht="34.5" hidden="false" customHeight="true" outlineLevel="0" collapsed="false">
      <c r="A35" s="7" t="s">
        <v>376</v>
      </c>
      <c r="B35" s="7" t="s">
        <v>333</v>
      </c>
      <c r="C35" s="7" t="n">
        <v>2016</v>
      </c>
      <c r="D35" s="7" t="s">
        <v>377</v>
      </c>
      <c r="E35" s="7" t="s">
        <v>97</v>
      </c>
      <c r="F35" s="7" t="s">
        <v>378</v>
      </c>
      <c r="G35" s="7" t="s">
        <v>135</v>
      </c>
      <c r="H35" s="7" t="s">
        <v>336</v>
      </c>
      <c r="I35" s="7" t="s">
        <v>137</v>
      </c>
      <c r="J35" s="7"/>
      <c r="K35" s="7" t="s">
        <v>379</v>
      </c>
      <c r="L35" s="7" t="s">
        <v>239</v>
      </c>
      <c r="M35" s="7" t="n">
        <v>1</v>
      </c>
      <c r="N35" s="7" t="n">
        <v>1</v>
      </c>
      <c r="O35" s="7" t="n">
        <v>0</v>
      </c>
      <c r="P35" s="7" t="n">
        <v>1</v>
      </c>
      <c r="Q35" s="8" t="n">
        <f aca="false">SUM(M35:P35)</f>
        <v>3</v>
      </c>
      <c r="R35" s="8" t="str">
        <f aca="false">IF(Q35&gt;=3,"Yes","No")</f>
        <v>Yes</v>
      </c>
      <c r="S35" s="7" t="s">
        <v>380</v>
      </c>
      <c r="T35" s="7" t="s">
        <v>381</v>
      </c>
    </row>
    <row r="36" customFormat="false" ht="34.5" hidden="false" customHeight="true" outlineLevel="0" collapsed="false">
      <c r="A36" s="7" t="s">
        <v>382</v>
      </c>
      <c r="B36" s="7" t="s">
        <v>383</v>
      </c>
      <c r="C36" s="7" t="n">
        <v>2016</v>
      </c>
      <c r="D36" s="7" t="s">
        <v>384</v>
      </c>
      <c r="E36" s="7" t="s">
        <v>97</v>
      </c>
      <c r="F36" s="7" t="s">
        <v>385</v>
      </c>
      <c r="G36" s="7" t="s">
        <v>146</v>
      </c>
      <c r="H36" s="7" t="s">
        <v>255</v>
      </c>
      <c r="I36" s="7" t="s">
        <v>168</v>
      </c>
      <c r="J36" s="7"/>
      <c r="K36" s="7" t="s">
        <v>386</v>
      </c>
      <c r="L36" s="7" t="s">
        <v>239</v>
      </c>
      <c r="M36" s="7" t="n">
        <v>0</v>
      </c>
      <c r="N36" s="7" t="n">
        <v>1</v>
      </c>
      <c r="O36" s="7" t="n">
        <v>0</v>
      </c>
      <c r="P36" s="7" t="n">
        <v>1</v>
      </c>
      <c r="Q36" s="8" t="n">
        <f aca="false">SUM(M36:P36)</f>
        <v>2</v>
      </c>
      <c r="R36" s="8" t="str">
        <f aca="false">IF(Q36&gt;=3,"Yes","No")</f>
        <v>No</v>
      </c>
      <c r="S36" s="7" t="s">
        <v>387</v>
      </c>
      <c r="T36" s="7" t="s">
        <v>388</v>
      </c>
    </row>
    <row r="37" customFormat="false" ht="34.5" hidden="false" customHeight="true" outlineLevel="0" collapsed="false">
      <c r="A37" s="7" t="s">
        <v>389</v>
      </c>
      <c r="B37" s="7" t="s">
        <v>390</v>
      </c>
      <c r="C37" s="7" t="n">
        <v>2016</v>
      </c>
      <c r="D37" s="7" t="s">
        <v>391</v>
      </c>
      <c r="E37" s="7" t="s">
        <v>87</v>
      </c>
      <c r="F37" s="7" t="s">
        <v>392</v>
      </c>
      <c r="G37" s="7" t="s">
        <v>157</v>
      </c>
      <c r="H37" s="7" t="s">
        <v>255</v>
      </c>
      <c r="I37" s="7" t="s">
        <v>168</v>
      </c>
      <c r="J37" s="7" t="s">
        <v>393</v>
      </c>
      <c r="K37" s="7" t="s">
        <v>394</v>
      </c>
      <c r="L37" s="7" t="s">
        <v>239</v>
      </c>
      <c r="M37" s="7" t="n">
        <v>1</v>
      </c>
      <c r="N37" s="7" t="n">
        <v>0</v>
      </c>
      <c r="O37" s="7" t="n">
        <v>1</v>
      </c>
      <c r="P37" s="7" t="n">
        <v>1</v>
      </c>
      <c r="Q37" s="8" t="n">
        <f aca="false">SUM(M37:P37)</f>
        <v>3</v>
      </c>
      <c r="R37" s="8" t="str">
        <f aca="false">IF(Q37&gt;=3,"Yes","No")</f>
        <v>Yes</v>
      </c>
      <c r="S37" s="7" t="s">
        <v>395</v>
      </c>
      <c r="T37" s="7"/>
    </row>
    <row r="38" customFormat="false" ht="34.5" hidden="false" customHeight="true" outlineLevel="0" collapsed="false">
      <c r="A38" s="7" t="s">
        <v>396</v>
      </c>
      <c r="B38" s="7" t="s">
        <v>397</v>
      </c>
      <c r="C38" s="7" t="n">
        <v>2017</v>
      </c>
      <c r="D38" s="7" t="s">
        <v>398</v>
      </c>
      <c r="E38" s="7" t="s">
        <v>399</v>
      </c>
      <c r="F38" s="7" t="s">
        <v>400</v>
      </c>
      <c r="G38" s="7" t="s">
        <v>157</v>
      </c>
      <c r="H38" s="7" t="s">
        <v>401</v>
      </c>
      <c r="I38" s="7" t="s">
        <v>270</v>
      </c>
      <c r="J38" s="7"/>
      <c r="K38" s="7" t="s">
        <v>202</v>
      </c>
      <c r="L38" s="7"/>
      <c r="M38" s="7" t="n">
        <v>1</v>
      </c>
      <c r="N38" s="7" t="n">
        <v>1</v>
      </c>
      <c r="O38" s="7" t="n">
        <v>1</v>
      </c>
      <c r="P38" s="7" t="n">
        <v>1</v>
      </c>
      <c r="Q38" s="8" t="n">
        <f aca="false">SUM(M38:P38)</f>
        <v>4</v>
      </c>
      <c r="R38" s="8" t="str">
        <f aca="false">IF(Q38&gt;=3,"Yes","No")</f>
        <v>Yes</v>
      </c>
      <c r="S38" s="7" t="s">
        <v>402</v>
      </c>
      <c r="T38" s="7"/>
    </row>
    <row r="39" customFormat="false" ht="45.75" hidden="false" customHeight="true" outlineLevel="0" collapsed="false">
      <c r="A39" s="7" t="s">
        <v>403</v>
      </c>
      <c r="B39" s="7" t="s">
        <v>404</v>
      </c>
      <c r="C39" s="7" t="n">
        <v>2017</v>
      </c>
      <c r="D39" s="7" t="s">
        <v>405</v>
      </c>
      <c r="E39" s="7" t="s">
        <v>226</v>
      </c>
      <c r="F39" s="7" t="s">
        <v>406</v>
      </c>
      <c r="G39" s="7" t="s">
        <v>157</v>
      </c>
      <c r="H39" s="7" t="s">
        <v>228</v>
      </c>
      <c r="I39" s="7" t="s">
        <v>148</v>
      </c>
      <c r="J39" s="7" t="s">
        <v>407</v>
      </c>
      <c r="K39" s="7" t="s">
        <v>194</v>
      </c>
      <c r="L39" s="7"/>
      <c r="M39" s="7" t="n">
        <v>1</v>
      </c>
      <c r="N39" s="7" t="n">
        <v>0</v>
      </c>
      <c r="O39" s="7" t="n">
        <v>1</v>
      </c>
      <c r="P39" s="7" t="n">
        <v>1</v>
      </c>
      <c r="Q39" s="8" t="n">
        <f aca="false">SUM(M39:P39)</f>
        <v>3</v>
      </c>
      <c r="R39" s="8" t="str">
        <f aca="false">IF(Q39&gt;=3,"Yes","No")</f>
        <v>Yes</v>
      </c>
      <c r="S39" s="7" t="s">
        <v>408</v>
      </c>
      <c r="T39" s="7"/>
    </row>
    <row r="40" customFormat="false" ht="34.5" hidden="false" customHeight="true" outlineLevel="0" collapsed="false">
      <c r="A40" s="7" t="s">
        <v>409</v>
      </c>
      <c r="B40" s="7" t="s">
        <v>410</v>
      </c>
      <c r="C40" s="7" t="n">
        <v>2017</v>
      </c>
      <c r="D40" s="7" t="s">
        <v>411</v>
      </c>
      <c r="E40" s="7" t="s">
        <v>412</v>
      </c>
      <c r="F40" s="7" t="s">
        <v>413</v>
      </c>
      <c r="G40" s="7" t="s">
        <v>146</v>
      </c>
      <c r="H40" s="7" t="s">
        <v>209</v>
      </c>
      <c r="I40" s="7" t="s">
        <v>137</v>
      </c>
      <c r="J40" s="7"/>
      <c r="K40" s="7" t="s">
        <v>345</v>
      </c>
      <c r="L40" s="7"/>
      <c r="M40" s="7" t="n">
        <v>0</v>
      </c>
      <c r="N40" s="7" t="n">
        <v>0</v>
      </c>
      <c r="O40" s="7" t="n">
        <v>0</v>
      </c>
      <c r="P40" s="7" t="n">
        <v>1</v>
      </c>
      <c r="Q40" s="8" t="n">
        <f aca="false">SUM(M40:P40)</f>
        <v>1</v>
      </c>
      <c r="R40" s="8" t="str">
        <f aca="false">IF(Q40&gt;=3,"Yes","No")</f>
        <v>No</v>
      </c>
      <c r="S40" s="7" t="s">
        <v>414</v>
      </c>
      <c r="T40" s="7"/>
    </row>
    <row r="41" customFormat="false" ht="23.25" hidden="false" customHeight="true" outlineLevel="0" collapsed="false">
      <c r="A41" s="7" t="s">
        <v>415</v>
      </c>
      <c r="B41" s="7" t="s">
        <v>416</v>
      </c>
      <c r="C41" s="7" t="n">
        <v>2017</v>
      </c>
      <c r="D41" s="7" t="s">
        <v>417</v>
      </c>
      <c r="E41" s="7" t="s">
        <v>418</v>
      </c>
      <c r="F41" s="7"/>
      <c r="G41" s="7" t="s">
        <v>146</v>
      </c>
      <c r="H41" s="7" t="s">
        <v>193</v>
      </c>
      <c r="I41" s="7" t="s">
        <v>168</v>
      </c>
      <c r="J41" s="7" t="s">
        <v>419</v>
      </c>
      <c r="K41" s="7" t="s">
        <v>420</v>
      </c>
      <c r="L41" s="7"/>
      <c r="M41" s="7" t="n">
        <v>0</v>
      </c>
      <c r="N41" s="7" t="n">
        <v>1</v>
      </c>
      <c r="O41" s="7" t="n">
        <v>0</v>
      </c>
      <c r="P41" s="7" t="n">
        <v>1</v>
      </c>
      <c r="Q41" s="8" t="n">
        <f aca="false">SUM(M41:P41)</f>
        <v>2</v>
      </c>
      <c r="R41" s="8" t="str">
        <f aca="false">IF(Q41&gt;=3,"Yes","No")</f>
        <v>No</v>
      </c>
      <c r="S41" s="7" t="s">
        <v>421</v>
      </c>
      <c r="T41" s="7"/>
    </row>
    <row r="42" customFormat="false" ht="34.5" hidden="false" customHeight="true" outlineLevel="0" collapsed="false">
      <c r="A42" s="7" t="s">
        <v>422</v>
      </c>
      <c r="B42" s="7" t="s">
        <v>423</v>
      </c>
      <c r="C42" s="7" t="n">
        <v>2017</v>
      </c>
      <c r="D42" s="7" t="s">
        <v>424</v>
      </c>
      <c r="E42" s="7" t="s">
        <v>425</v>
      </c>
      <c r="F42" s="7" t="s">
        <v>426</v>
      </c>
      <c r="G42" s="7" t="s">
        <v>157</v>
      </c>
      <c r="H42" s="7" t="s">
        <v>427</v>
      </c>
      <c r="I42" s="7" t="s">
        <v>137</v>
      </c>
      <c r="J42" s="7" t="s">
        <v>428</v>
      </c>
      <c r="K42" s="7" t="s">
        <v>429</v>
      </c>
      <c r="L42" s="7" t="s">
        <v>430</v>
      </c>
      <c r="M42" s="7" t="n">
        <v>1</v>
      </c>
      <c r="N42" s="7" t="n">
        <v>1</v>
      </c>
      <c r="O42" s="7" t="n">
        <v>0</v>
      </c>
      <c r="P42" s="7" t="n">
        <v>1</v>
      </c>
      <c r="Q42" s="8" t="n">
        <f aca="false">SUM(M42:P42)</f>
        <v>3</v>
      </c>
      <c r="R42" s="8" t="str">
        <f aca="false">IF(Q42&gt;=3,"Yes","No")</f>
        <v>Yes</v>
      </c>
      <c r="S42" s="7" t="s">
        <v>431</v>
      </c>
      <c r="T42" s="7"/>
    </row>
    <row r="43" customFormat="false" ht="34.5" hidden="false" customHeight="true" outlineLevel="0" collapsed="false">
      <c r="A43" s="7" t="s">
        <v>432</v>
      </c>
      <c r="B43" s="7" t="s">
        <v>433</v>
      </c>
      <c r="C43" s="7" t="n">
        <v>2017</v>
      </c>
      <c r="D43" s="7" t="s">
        <v>434</v>
      </c>
      <c r="E43" s="7" t="s">
        <v>321</v>
      </c>
      <c r="F43" s="7" t="s">
        <v>435</v>
      </c>
      <c r="G43" s="7" t="s">
        <v>157</v>
      </c>
      <c r="H43" s="7" t="s">
        <v>193</v>
      </c>
      <c r="I43" s="7" t="s">
        <v>168</v>
      </c>
      <c r="J43" s="7"/>
      <c r="K43" s="7" t="s">
        <v>436</v>
      </c>
      <c r="L43" s="7"/>
      <c r="M43" s="7" t="n">
        <v>1</v>
      </c>
      <c r="N43" s="7" t="n">
        <v>1</v>
      </c>
      <c r="O43" s="7" t="n">
        <v>1</v>
      </c>
      <c r="P43" s="7" t="n">
        <v>1</v>
      </c>
      <c r="Q43" s="8" t="n">
        <f aca="false">SUM(M43:P43)</f>
        <v>4</v>
      </c>
      <c r="R43" s="8" t="str">
        <f aca="false">IF(Q43&gt;=3,"Yes","No")</f>
        <v>Yes</v>
      </c>
      <c r="S43" s="7" t="s">
        <v>437</v>
      </c>
      <c r="T43" s="7"/>
    </row>
    <row r="44" customFormat="false" ht="45.75" hidden="false" customHeight="true" outlineLevel="0" collapsed="false">
      <c r="A44" s="7" t="s">
        <v>438</v>
      </c>
      <c r="B44" s="7" t="s">
        <v>439</v>
      </c>
      <c r="C44" s="7" t="n">
        <v>2018</v>
      </c>
      <c r="D44" s="7" t="s">
        <v>440</v>
      </c>
      <c r="E44" s="7" t="s">
        <v>175</v>
      </c>
      <c r="F44" s="7" t="s">
        <v>441</v>
      </c>
      <c r="G44" s="7" t="s">
        <v>146</v>
      </c>
      <c r="H44" s="7" t="s">
        <v>209</v>
      </c>
      <c r="I44" s="7" t="s">
        <v>137</v>
      </c>
      <c r="J44" s="7"/>
      <c r="K44" s="7" t="s">
        <v>442</v>
      </c>
      <c r="L44" s="7"/>
      <c r="M44" s="7" t="n">
        <v>1</v>
      </c>
      <c r="N44" s="7" t="n">
        <v>0</v>
      </c>
      <c r="O44" s="7" t="n">
        <v>0</v>
      </c>
      <c r="P44" s="7" t="n">
        <v>1</v>
      </c>
      <c r="Q44" s="8" t="n">
        <f aca="false">SUM(M44:P44)</f>
        <v>2</v>
      </c>
      <c r="R44" s="8" t="str">
        <f aca="false">IF(Q44&gt;=3,"Yes","No")</f>
        <v>No</v>
      </c>
      <c r="S44" s="7" t="s">
        <v>443</v>
      </c>
      <c r="T44" s="7" t="s">
        <v>444</v>
      </c>
    </row>
    <row r="45" customFormat="false" ht="23.25" hidden="false" customHeight="true" outlineLevel="0" collapsed="false">
      <c r="A45" s="7" t="s">
        <v>445</v>
      </c>
      <c r="B45" s="7" t="s">
        <v>446</v>
      </c>
      <c r="C45" s="7" t="n">
        <v>2018</v>
      </c>
      <c r="D45" s="7" t="s">
        <v>447</v>
      </c>
      <c r="E45" s="7" t="s">
        <v>448</v>
      </c>
      <c r="F45" s="7" t="s">
        <v>449</v>
      </c>
      <c r="G45" s="7" t="s">
        <v>146</v>
      </c>
      <c r="H45" s="7" t="s">
        <v>450</v>
      </c>
      <c r="I45" s="7" t="s">
        <v>451</v>
      </c>
      <c r="J45" s="7" t="s">
        <v>452</v>
      </c>
      <c r="K45" s="7" t="s">
        <v>453</v>
      </c>
      <c r="L45" s="7"/>
      <c r="M45" s="7" t="n">
        <v>0</v>
      </c>
      <c r="N45" s="7" t="n">
        <v>0</v>
      </c>
      <c r="O45" s="7" t="n">
        <v>0</v>
      </c>
      <c r="P45" s="7" t="n">
        <v>1</v>
      </c>
      <c r="Q45" s="8" t="n">
        <f aca="false">SUM(M45:P45)</f>
        <v>1</v>
      </c>
      <c r="R45" s="8" t="str">
        <f aca="false">IF(Q45&gt;=3,"Yes","No")</f>
        <v>No</v>
      </c>
      <c r="S45" s="7" t="s">
        <v>454</v>
      </c>
      <c r="T45" s="7"/>
    </row>
    <row r="46" customFormat="false" ht="34.5" hidden="false" customHeight="true" outlineLevel="0" collapsed="false">
      <c r="A46" s="7" t="s">
        <v>455</v>
      </c>
      <c r="B46" s="7" t="s">
        <v>456</v>
      </c>
      <c r="C46" s="7" t="n">
        <v>2018</v>
      </c>
      <c r="D46" s="7" t="s">
        <v>457</v>
      </c>
      <c r="E46" s="7" t="s">
        <v>458</v>
      </c>
      <c r="F46" s="7" t="s">
        <v>459</v>
      </c>
      <c r="G46" s="7" t="s">
        <v>135</v>
      </c>
      <c r="H46" s="7" t="s">
        <v>460</v>
      </c>
      <c r="I46" s="7" t="s">
        <v>137</v>
      </c>
      <c r="J46" s="7" t="s">
        <v>288</v>
      </c>
      <c r="K46" s="7" t="s">
        <v>461</v>
      </c>
      <c r="L46" s="7"/>
      <c r="M46" s="7" t="n">
        <v>0</v>
      </c>
      <c r="N46" s="7" t="n">
        <v>1</v>
      </c>
      <c r="O46" s="7" t="n">
        <v>1</v>
      </c>
      <c r="P46" s="7" t="n">
        <v>1</v>
      </c>
      <c r="Q46" s="8" t="n">
        <f aca="false">SUM(M46:P46)</f>
        <v>3</v>
      </c>
      <c r="R46" s="8" t="str">
        <f aca="false">IF(Q46&gt;=3,"Yes","No")</f>
        <v>Yes</v>
      </c>
      <c r="S46" s="7" t="s">
        <v>462</v>
      </c>
      <c r="T46" s="7"/>
    </row>
    <row r="47" customFormat="false" ht="34.5" hidden="false" customHeight="true" outlineLevel="0" collapsed="false">
      <c r="A47" s="7" t="s">
        <v>463</v>
      </c>
      <c r="B47" s="7" t="s">
        <v>464</v>
      </c>
      <c r="C47" s="7" t="n">
        <v>2018</v>
      </c>
      <c r="D47" s="7" t="s">
        <v>465</v>
      </c>
      <c r="E47" s="7" t="s">
        <v>466</v>
      </c>
      <c r="F47" s="7" t="s">
        <v>467</v>
      </c>
      <c r="G47" s="7" t="s">
        <v>157</v>
      </c>
      <c r="H47" s="7" t="s">
        <v>468</v>
      </c>
      <c r="I47" s="7" t="s">
        <v>451</v>
      </c>
      <c r="J47" s="7"/>
      <c r="K47" s="7" t="s">
        <v>453</v>
      </c>
      <c r="L47" s="7"/>
      <c r="M47" s="7" t="n">
        <v>1</v>
      </c>
      <c r="N47" s="7" t="n">
        <v>0</v>
      </c>
      <c r="O47" s="7" t="n">
        <v>0</v>
      </c>
      <c r="P47" s="7" t="n">
        <v>1</v>
      </c>
      <c r="Q47" s="8" t="n">
        <f aca="false">SUM(M47:P47)</f>
        <v>2</v>
      </c>
      <c r="R47" s="8" t="str">
        <f aca="false">IF(Q47&gt;=3,"Yes","No")</f>
        <v>No</v>
      </c>
      <c r="S47" s="7" t="s">
        <v>469</v>
      </c>
      <c r="T47" s="7"/>
    </row>
    <row r="48" customFormat="false" ht="34.5" hidden="false" customHeight="true" outlineLevel="0" collapsed="false">
      <c r="A48" s="7" t="s">
        <v>470</v>
      </c>
      <c r="B48" s="7" t="s">
        <v>471</v>
      </c>
      <c r="C48" s="7" t="n">
        <v>2018</v>
      </c>
      <c r="D48" s="7" t="s">
        <v>472</v>
      </c>
      <c r="E48" s="7" t="s">
        <v>473</v>
      </c>
      <c r="F48" s="7" t="s">
        <v>474</v>
      </c>
      <c r="G48" s="7" t="s">
        <v>146</v>
      </c>
      <c r="H48" s="7" t="s">
        <v>475</v>
      </c>
      <c r="I48" s="7" t="s">
        <v>451</v>
      </c>
      <c r="J48" s="7"/>
      <c r="K48" s="7" t="s">
        <v>386</v>
      </c>
      <c r="L48" s="7" t="s">
        <v>186</v>
      </c>
      <c r="M48" s="7" t="n">
        <v>1</v>
      </c>
      <c r="N48" s="7" t="n">
        <v>1</v>
      </c>
      <c r="O48" s="7" t="n">
        <v>0</v>
      </c>
      <c r="P48" s="7" t="n">
        <v>1</v>
      </c>
      <c r="Q48" s="8" t="n">
        <f aca="false">SUM(M48:P48)</f>
        <v>3</v>
      </c>
      <c r="R48" s="8" t="str">
        <f aca="false">IF(Q48&gt;=3,"Yes","No")</f>
        <v>Yes</v>
      </c>
      <c r="S48" s="7" t="s">
        <v>476</v>
      </c>
      <c r="T48" s="7"/>
    </row>
    <row r="49" customFormat="false" ht="34.5" hidden="false" customHeight="true" outlineLevel="0" collapsed="false">
      <c r="A49" s="7" t="s">
        <v>477</v>
      </c>
      <c r="B49" s="7" t="s">
        <v>478</v>
      </c>
      <c r="C49" s="7" t="n">
        <v>2018</v>
      </c>
      <c r="D49" s="7" t="s">
        <v>479</v>
      </c>
      <c r="E49" s="7" t="s">
        <v>226</v>
      </c>
      <c r="F49" s="7" t="s">
        <v>480</v>
      </c>
      <c r="G49" s="7" t="s">
        <v>135</v>
      </c>
      <c r="H49" s="7" t="s">
        <v>401</v>
      </c>
      <c r="I49" s="7" t="s">
        <v>270</v>
      </c>
      <c r="J49" s="7"/>
      <c r="K49" s="7" t="s">
        <v>150</v>
      </c>
      <c r="L49" s="7"/>
      <c r="M49" s="7" t="n">
        <v>0</v>
      </c>
      <c r="N49" s="7" t="n">
        <v>0</v>
      </c>
      <c r="O49" s="7" t="n">
        <v>1</v>
      </c>
      <c r="P49" s="7" t="n">
        <v>1</v>
      </c>
      <c r="Q49" s="8" t="n">
        <f aca="false">SUM(M49:P49)</f>
        <v>2</v>
      </c>
      <c r="R49" s="8" t="str">
        <f aca="false">IF(Q49&gt;=3,"Yes","No")</f>
        <v>No</v>
      </c>
      <c r="S49" s="7" t="s">
        <v>481</v>
      </c>
      <c r="T49" s="7"/>
    </row>
    <row r="50" customFormat="false" ht="34.5" hidden="false" customHeight="true" outlineLevel="0" collapsed="false">
      <c r="A50" s="7" t="s">
        <v>482</v>
      </c>
      <c r="B50" s="7" t="s">
        <v>483</v>
      </c>
      <c r="C50" s="7" t="n">
        <v>2018</v>
      </c>
      <c r="D50" s="7" t="s">
        <v>484</v>
      </c>
      <c r="E50" s="7" t="s">
        <v>321</v>
      </c>
      <c r="F50" s="7" t="s">
        <v>485</v>
      </c>
      <c r="G50" s="7" t="s">
        <v>157</v>
      </c>
      <c r="H50" s="7" t="s">
        <v>486</v>
      </c>
      <c r="I50" s="7" t="s">
        <v>137</v>
      </c>
      <c r="J50" s="7" t="s">
        <v>487</v>
      </c>
      <c r="K50" s="7" t="s">
        <v>488</v>
      </c>
      <c r="L50" s="7"/>
      <c r="M50" s="7" t="n">
        <v>1</v>
      </c>
      <c r="N50" s="7" t="n">
        <v>1</v>
      </c>
      <c r="O50" s="7" t="n">
        <v>1</v>
      </c>
      <c r="P50" s="7" t="n">
        <v>1</v>
      </c>
      <c r="Q50" s="8" t="n">
        <f aca="false">SUM(M50:P50)</f>
        <v>4</v>
      </c>
      <c r="R50" s="8" t="str">
        <f aca="false">IF(Q50&gt;=3,"Yes","No")</f>
        <v>Yes</v>
      </c>
      <c r="S50" s="7" t="s">
        <v>489</v>
      </c>
      <c r="T50" s="7"/>
    </row>
    <row r="51" customFormat="false" ht="34.5" hidden="false" customHeight="true" outlineLevel="0" collapsed="false">
      <c r="A51" s="7" t="s">
        <v>490</v>
      </c>
      <c r="B51" s="7" t="s">
        <v>491</v>
      </c>
      <c r="C51" s="7" t="n">
        <v>2018</v>
      </c>
      <c r="D51" s="7" t="s">
        <v>492</v>
      </c>
      <c r="E51" s="7" t="s">
        <v>493</v>
      </c>
      <c r="F51" s="7" t="s">
        <v>494</v>
      </c>
      <c r="G51" s="7" t="s">
        <v>146</v>
      </c>
      <c r="H51" s="7" t="s">
        <v>401</v>
      </c>
      <c r="I51" s="7" t="s">
        <v>270</v>
      </c>
      <c r="J51" s="7" t="s">
        <v>495</v>
      </c>
      <c r="K51" s="7" t="s">
        <v>496</v>
      </c>
      <c r="L51" s="7"/>
      <c r="M51" s="7" t="n">
        <v>0</v>
      </c>
      <c r="N51" s="7" t="n">
        <v>1</v>
      </c>
      <c r="O51" s="7" t="n">
        <v>0</v>
      </c>
      <c r="P51" s="7" t="n">
        <v>1</v>
      </c>
      <c r="Q51" s="8" t="n">
        <f aca="false">SUM(M51:P51)</f>
        <v>2</v>
      </c>
      <c r="R51" s="8" t="str">
        <f aca="false">IF(Q51&gt;=3,"Yes","No")</f>
        <v>No</v>
      </c>
      <c r="S51" s="7" t="s">
        <v>497</v>
      </c>
      <c r="T51" s="7"/>
    </row>
    <row r="52" customFormat="false" ht="34.5" hidden="false" customHeight="true" outlineLevel="0" collapsed="false">
      <c r="A52" s="7" t="s">
        <v>498</v>
      </c>
      <c r="B52" s="7" t="s">
        <v>53</v>
      </c>
      <c r="C52" s="7" t="n">
        <v>2018</v>
      </c>
      <c r="D52" s="7" t="s">
        <v>499</v>
      </c>
      <c r="E52" s="7" t="s">
        <v>207</v>
      </c>
      <c r="F52" s="7" t="s">
        <v>500</v>
      </c>
      <c r="G52" s="7" t="s">
        <v>157</v>
      </c>
      <c r="H52" s="7" t="s">
        <v>427</v>
      </c>
      <c r="I52" s="7" t="s">
        <v>137</v>
      </c>
      <c r="J52" s="7"/>
      <c r="K52" s="7" t="s">
        <v>501</v>
      </c>
      <c r="L52" s="7"/>
      <c r="M52" s="7" t="n">
        <v>1</v>
      </c>
      <c r="N52" s="7" t="n">
        <v>0</v>
      </c>
      <c r="O52" s="7" t="n">
        <v>0</v>
      </c>
      <c r="P52" s="7" t="n">
        <v>1</v>
      </c>
      <c r="Q52" s="8" t="n">
        <f aca="false">SUM(M52:P52)</f>
        <v>2</v>
      </c>
      <c r="R52" s="8" t="str">
        <f aca="false">IF(Q52&gt;=3,"Yes","No")</f>
        <v>No</v>
      </c>
      <c r="S52" s="7" t="s">
        <v>502</v>
      </c>
      <c r="T52" s="7"/>
    </row>
    <row r="53" customFormat="false" ht="34.5" hidden="false" customHeight="true" outlineLevel="0" collapsed="false">
      <c r="A53" s="7" t="s">
        <v>503</v>
      </c>
      <c r="B53" s="7" t="s">
        <v>433</v>
      </c>
      <c r="C53" s="7" t="n">
        <v>2018</v>
      </c>
      <c r="D53" s="7" t="s">
        <v>504</v>
      </c>
      <c r="E53" s="7" t="s">
        <v>207</v>
      </c>
      <c r="F53" s="7" t="s">
        <v>505</v>
      </c>
      <c r="G53" s="7" t="s">
        <v>157</v>
      </c>
      <c r="H53" s="7" t="s">
        <v>193</v>
      </c>
      <c r="I53" s="7" t="s">
        <v>168</v>
      </c>
      <c r="J53" s="7"/>
      <c r="K53" s="7" t="s">
        <v>506</v>
      </c>
      <c r="L53" s="7" t="s">
        <v>239</v>
      </c>
      <c r="M53" s="7" t="n">
        <v>1</v>
      </c>
      <c r="N53" s="7" t="n">
        <v>1</v>
      </c>
      <c r="O53" s="7" t="n">
        <v>1</v>
      </c>
      <c r="P53" s="7" t="n">
        <v>1</v>
      </c>
      <c r="Q53" s="8" t="n">
        <f aca="false">SUM(M53:P53)</f>
        <v>4</v>
      </c>
      <c r="R53" s="8" t="str">
        <f aca="false">IF(Q53&gt;=3,"Yes","No")</f>
        <v>Yes</v>
      </c>
      <c r="S53" s="7" t="s">
        <v>507</v>
      </c>
      <c r="T53" s="7"/>
    </row>
    <row r="54" customFormat="false" ht="34.5" hidden="false" customHeight="true" outlineLevel="0" collapsed="false">
      <c r="A54" s="7" t="s">
        <v>508</v>
      </c>
      <c r="B54" s="7" t="s">
        <v>509</v>
      </c>
      <c r="C54" s="7" t="n">
        <v>2019</v>
      </c>
      <c r="D54" s="7" t="s">
        <v>510</v>
      </c>
      <c r="E54" s="7" t="s">
        <v>511</v>
      </c>
      <c r="F54" s="7" t="s">
        <v>512</v>
      </c>
      <c r="G54" s="7" t="s">
        <v>135</v>
      </c>
      <c r="H54" s="7" t="s">
        <v>513</v>
      </c>
      <c r="I54" s="7" t="s">
        <v>451</v>
      </c>
      <c r="J54" s="7" t="s">
        <v>514</v>
      </c>
      <c r="K54" s="7" t="s">
        <v>150</v>
      </c>
      <c r="L54" s="7"/>
      <c r="M54" s="7" t="n">
        <v>0</v>
      </c>
      <c r="N54" s="7" t="n">
        <v>0</v>
      </c>
      <c r="O54" s="7" t="n">
        <v>1</v>
      </c>
      <c r="P54" s="7" t="n">
        <v>1</v>
      </c>
      <c r="Q54" s="8" t="n">
        <f aca="false">SUM(M54:P54)</f>
        <v>2</v>
      </c>
      <c r="R54" s="8" t="str">
        <f aca="false">IF(Q54&gt;=3,"Yes","No")</f>
        <v>No</v>
      </c>
      <c r="S54" s="7" t="s">
        <v>515</v>
      </c>
      <c r="T54" s="7"/>
    </row>
    <row r="55" customFormat="false" ht="34.5" hidden="false" customHeight="true" outlineLevel="0" collapsed="false">
      <c r="A55" s="7" t="s">
        <v>516</v>
      </c>
      <c r="B55" s="7" t="s">
        <v>517</v>
      </c>
      <c r="C55" s="7" t="n">
        <v>2019</v>
      </c>
      <c r="D55" s="7" t="s">
        <v>518</v>
      </c>
      <c r="E55" s="7" t="s">
        <v>519</v>
      </c>
      <c r="F55" s="7" t="s">
        <v>520</v>
      </c>
      <c r="G55" s="7" t="s">
        <v>157</v>
      </c>
      <c r="H55" s="7" t="s">
        <v>147</v>
      </c>
      <c r="I55" s="7" t="s">
        <v>148</v>
      </c>
      <c r="J55" s="7"/>
      <c r="K55" s="7" t="s">
        <v>461</v>
      </c>
      <c r="L55" s="7"/>
      <c r="M55" s="7" t="n">
        <v>0</v>
      </c>
      <c r="N55" s="7" t="n">
        <v>0</v>
      </c>
      <c r="O55" s="7" t="n">
        <v>1</v>
      </c>
      <c r="P55" s="7" t="n">
        <v>1</v>
      </c>
      <c r="Q55" s="8" t="n">
        <f aca="false">SUM(M55:P55)</f>
        <v>2</v>
      </c>
      <c r="R55" s="8" t="str">
        <f aca="false">IF(Q55&gt;=3,"Yes","No")</f>
        <v>No</v>
      </c>
      <c r="S55" s="7" t="s">
        <v>521</v>
      </c>
      <c r="T55" s="7"/>
    </row>
    <row r="56" customFormat="false" ht="23.25" hidden="false" customHeight="true" outlineLevel="0" collapsed="false">
      <c r="A56" s="7" t="s">
        <v>522</v>
      </c>
      <c r="B56" s="7" t="s">
        <v>523</v>
      </c>
      <c r="C56" s="7" t="n">
        <v>2019</v>
      </c>
      <c r="D56" s="7" t="s">
        <v>524</v>
      </c>
      <c r="E56" s="7" t="s">
        <v>473</v>
      </c>
      <c r="F56" s="7" t="s">
        <v>525</v>
      </c>
      <c r="G56" s="7" t="s">
        <v>157</v>
      </c>
      <c r="H56" s="7" t="s">
        <v>526</v>
      </c>
      <c r="I56" s="7" t="s">
        <v>451</v>
      </c>
      <c r="J56" s="7"/>
      <c r="K56" s="7" t="s">
        <v>202</v>
      </c>
      <c r="L56" s="7"/>
      <c r="M56" s="7" t="n">
        <v>0</v>
      </c>
      <c r="N56" s="7" t="n">
        <v>1</v>
      </c>
      <c r="O56" s="7" t="n">
        <v>1</v>
      </c>
      <c r="P56" s="7" t="n">
        <v>1</v>
      </c>
      <c r="Q56" s="8" t="n">
        <f aca="false">SUM(M56:P56)</f>
        <v>3</v>
      </c>
      <c r="R56" s="8" t="str">
        <f aca="false">IF(Q56&gt;=3,"Yes","No")</f>
        <v>Yes</v>
      </c>
      <c r="S56" s="7" t="s">
        <v>527</v>
      </c>
      <c r="T56" s="7"/>
    </row>
    <row r="57" customFormat="false" ht="34.5" hidden="false" customHeight="true" outlineLevel="0" collapsed="false">
      <c r="A57" s="7" t="s">
        <v>528</v>
      </c>
      <c r="B57" s="7" t="s">
        <v>529</v>
      </c>
      <c r="C57" s="7" t="n">
        <v>2019</v>
      </c>
      <c r="D57" s="7" t="s">
        <v>530</v>
      </c>
      <c r="E57" s="7" t="s">
        <v>531</v>
      </c>
      <c r="F57" s="7" t="s">
        <v>532</v>
      </c>
      <c r="G57" s="7" t="s">
        <v>146</v>
      </c>
      <c r="H57" s="7" t="s">
        <v>277</v>
      </c>
      <c r="I57" s="7" t="s">
        <v>278</v>
      </c>
      <c r="J57" s="7"/>
      <c r="K57" s="7" t="s">
        <v>420</v>
      </c>
      <c r="L57" s="7"/>
      <c r="M57" s="7" t="n">
        <v>1</v>
      </c>
      <c r="N57" s="7" t="n">
        <v>1</v>
      </c>
      <c r="O57" s="7" t="n">
        <v>0</v>
      </c>
      <c r="P57" s="7" t="n">
        <v>1</v>
      </c>
      <c r="Q57" s="8" t="n">
        <f aca="false">SUM(M57:P57)</f>
        <v>3</v>
      </c>
      <c r="R57" s="8" t="str">
        <f aca="false">IF(Q57&gt;=3,"Yes","No")</f>
        <v>Yes</v>
      </c>
      <c r="S57" s="7" t="s">
        <v>533</v>
      </c>
      <c r="T57" s="7"/>
    </row>
    <row r="58" customFormat="false" ht="34.5" hidden="false" customHeight="true" outlineLevel="0" collapsed="false">
      <c r="A58" s="7" t="s">
        <v>534</v>
      </c>
      <c r="B58" s="7" t="s">
        <v>535</v>
      </c>
      <c r="C58" s="7" t="n">
        <v>2019</v>
      </c>
      <c r="D58" s="7" t="s">
        <v>536</v>
      </c>
      <c r="E58" s="7" t="s">
        <v>537</v>
      </c>
      <c r="F58" s="7" t="s">
        <v>538</v>
      </c>
      <c r="G58" s="7" t="s">
        <v>157</v>
      </c>
      <c r="H58" s="7" t="s">
        <v>228</v>
      </c>
      <c r="I58" s="7" t="s">
        <v>148</v>
      </c>
      <c r="J58" s="7" t="s">
        <v>539</v>
      </c>
      <c r="K58" s="7" t="s">
        <v>323</v>
      </c>
      <c r="L58" s="7"/>
      <c r="M58" s="7" t="n">
        <v>0</v>
      </c>
      <c r="N58" s="7" t="n">
        <v>1</v>
      </c>
      <c r="O58" s="7" t="n">
        <v>1</v>
      </c>
      <c r="P58" s="7" t="n">
        <v>1</v>
      </c>
      <c r="Q58" s="8" t="n">
        <f aca="false">SUM(M58:P58)</f>
        <v>3</v>
      </c>
      <c r="R58" s="8" t="str">
        <f aca="false">IF(Q58&gt;=3,"Yes","No")</f>
        <v>Yes</v>
      </c>
      <c r="S58" s="7" t="s">
        <v>540</v>
      </c>
      <c r="T58" s="7"/>
    </row>
    <row r="59" customFormat="false" ht="34.5" hidden="false" customHeight="true" outlineLevel="0" collapsed="false">
      <c r="A59" s="7" t="s">
        <v>541</v>
      </c>
      <c r="B59" s="7" t="s">
        <v>542</v>
      </c>
      <c r="C59" s="7" t="n">
        <v>2019</v>
      </c>
      <c r="D59" s="7" t="s">
        <v>543</v>
      </c>
      <c r="E59" s="7" t="s">
        <v>544</v>
      </c>
      <c r="F59" s="7" t="s">
        <v>545</v>
      </c>
      <c r="G59" s="7" t="s">
        <v>157</v>
      </c>
      <c r="H59" s="7" t="s">
        <v>336</v>
      </c>
      <c r="I59" s="7" t="s">
        <v>137</v>
      </c>
      <c r="J59" s="7" t="s">
        <v>546</v>
      </c>
      <c r="K59" s="7" t="s">
        <v>461</v>
      </c>
      <c r="L59" s="7"/>
      <c r="M59" s="7" t="n">
        <v>1</v>
      </c>
      <c r="N59" s="7" t="n">
        <v>0</v>
      </c>
      <c r="O59" s="7" t="n">
        <v>1</v>
      </c>
      <c r="P59" s="7" t="n">
        <v>1</v>
      </c>
      <c r="Q59" s="8" t="n">
        <f aca="false">SUM(M59:P59)</f>
        <v>3</v>
      </c>
      <c r="R59" s="8" t="str">
        <f aca="false">IF(Q59&gt;=3,"Yes","No")</f>
        <v>Yes</v>
      </c>
      <c r="S59" s="7" t="s">
        <v>547</v>
      </c>
      <c r="T59" s="7"/>
    </row>
    <row r="60" customFormat="false" ht="45.75" hidden="false" customHeight="true" outlineLevel="0" collapsed="false">
      <c r="A60" s="7" t="s">
        <v>548</v>
      </c>
      <c r="B60" s="7" t="s">
        <v>549</v>
      </c>
      <c r="C60" s="7" t="n">
        <v>2019</v>
      </c>
      <c r="D60" s="7" t="s">
        <v>550</v>
      </c>
      <c r="E60" s="7" t="s">
        <v>551</v>
      </c>
      <c r="F60" s="7" t="s">
        <v>552</v>
      </c>
      <c r="G60" s="7" t="s">
        <v>157</v>
      </c>
      <c r="H60" s="7" t="s">
        <v>401</v>
      </c>
      <c r="I60" s="7" t="s">
        <v>270</v>
      </c>
      <c r="J60" s="7" t="s">
        <v>553</v>
      </c>
      <c r="K60" s="7" t="s">
        <v>436</v>
      </c>
      <c r="L60" s="7"/>
      <c r="M60" s="7" t="n">
        <v>0</v>
      </c>
      <c r="N60" s="7" t="n">
        <v>0</v>
      </c>
      <c r="O60" s="7" t="n">
        <v>1</v>
      </c>
      <c r="P60" s="7" t="n">
        <v>1</v>
      </c>
      <c r="Q60" s="8" t="n">
        <f aca="false">SUM(M60:P60)</f>
        <v>2</v>
      </c>
      <c r="R60" s="8" t="str">
        <f aca="false">IF(Q60&gt;=3,"Yes","No")</f>
        <v>No</v>
      </c>
      <c r="S60" s="7" t="s">
        <v>554</v>
      </c>
      <c r="T60" s="7"/>
    </row>
    <row r="61" customFormat="false" ht="34.5" hidden="false" customHeight="true" outlineLevel="0" collapsed="false">
      <c r="A61" s="7" t="s">
        <v>555</v>
      </c>
      <c r="B61" s="7" t="s">
        <v>556</v>
      </c>
      <c r="C61" s="7" t="n">
        <v>2019</v>
      </c>
      <c r="D61" s="7" t="s">
        <v>557</v>
      </c>
      <c r="E61" s="7" t="s">
        <v>558</v>
      </c>
      <c r="F61" s="7" t="s">
        <v>559</v>
      </c>
      <c r="G61" s="7" t="s">
        <v>146</v>
      </c>
      <c r="H61" s="7" t="s">
        <v>450</v>
      </c>
      <c r="I61" s="7" t="s">
        <v>451</v>
      </c>
      <c r="J61" s="7"/>
      <c r="K61" s="7" t="s">
        <v>453</v>
      </c>
      <c r="L61" s="7"/>
      <c r="M61" s="7" t="n">
        <v>0</v>
      </c>
      <c r="N61" s="7" t="n">
        <v>0</v>
      </c>
      <c r="O61" s="7" t="n">
        <v>0</v>
      </c>
      <c r="P61" s="7" t="n">
        <v>1</v>
      </c>
      <c r="Q61" s="8" t="n">
        <f aca="false">SUM(M61:P61)</f>
        <v>1</v>
      </c>
      <c r="R61" s="8" t="str">
        <f aca="false">IF(Q61&gt;=3,"Yes","No")</f>
        <v>No</v>
      </c>
      <c r="S61" s="7" t="s">
        <v>560</v>
      </c>
      <c r="T61" s="7" t="s">
        <v>561</v>
      </c>
    </row>
    <row r="62" customFormat="false" ht="34.5" hidden="false" customHeight="true" outlineLevel="0" collapsed="false">
      <c r="A62" s="7" t="s">
        <v>562</v>
      </c>
      <c r="B62" s="7" t="s">
        <v>563</v>
      </c>
      <c r="C62" s="7" t="n">
        <v>2019</v>
      </c>
      <c r="D62" s="7" t="s">
        <v>564</v>
      </c>
      <c r="E62" s="7" t="s">
        <v>306</v>
      </c>
      <c r="F62" s="7" t="s">
        <v>565</v>
      </c>
      <c r="G62" s="7" t="s">
        <v>135</v>
      </c>
      <c r="H62" s="7" t="s">
        <v>468</v>
      </c>
      <c r="I62" s="7" t="s">
        <v>451</v>
      </c>
      <c r="J62" s="7" t="s">
        <v>566</v>
      </c>
      <c r="K62" s="7" t="s">
        <v>323</v>
      </c>
      <c r="L62" s="7"/>
      <c r="M62" s="7" t="n">
        <v>1</v>
      </c>
      <c r="N62" s="7" t="n">
        <v>0</v>
      </c>
      <c r="O62" s="7" t="n">
        <v>1</v>
      </c>
      <c r="P62" s="7" t="n">
        <v>1</v>
      </c>
      <c r="Q62" s="8" t="n">
        <f aca="false">SUM(M62:P62)</f>
        <v>3</v>
      </c>
      <c r="R62" s="8" t="str">
        <f aca="false">IF(Q62&gt;=3,"Yes","No")</f>
        <v>Yes</v>
      </c>
      <c r="S62" s="7" t="s">
        <v>567</v>
      </c>
      <c r="T62" s="7"/>
    </row>
    <row r="63" customFormat="false" ht="45.75" hidden="false" customHeight="true" outlineLevel="0" collapsed="false">
      <c r="A63" s="7" t="s">
        <v>568</v>
      </c>
      <c r="B63" s="7" t="s">
        <v>569</v>
      </c>
      <c r="C63" s="7" t="n">
        <v>2019</v>
      </c>
      <c r="D63" s="7" t="s">
        <v>570</v>
      </c>
      <c r="E63" s="7" t="s">
        <v>207</v>
      </c>
      <c r="F63" s="7" t="s">
        <v>571</v>
      </c>
      <c r="G63" s="7" t="s">
        <v>146</v>
      </c>
      <c r="H63" s="7" t="s">
        <v>427</v>
      </c>
      <c r="I63" s="7" t="s">
        <v>137</v>
      </c>
      <c r="J63" s="7"/>
      <c r="K63" s="7" t="s">
        <v>572</v>
      </c>
      <c r="L63" s="7"/>
      <c r="M63" s="7" t="n">
        <v>1</v>
      </c>
      <c r="N63" s="7" t="n">
        <v>1</v>
      </c>
      <c r="O63" s="7" t="n">
        <v>0</v>
      </c>
      <c r="P63" s="7" t="n">
        <v>1</v>
      </c>
      <c r="Q63" s="8" t="n">
        <f aca="false">SUM(M63:P63)</f>
        <v>3</v>
      </c>
      <c r="R63" s="8" t="str">
        <f aca="false">IF(Q63&gt;=3,"Yes","No")</f>
        <v>Yes</v>
      </c>
      <c r="S63" s="7" t="s">
        <v>573</v>
      </c>
      <c r="T63" s="7"/>
    </row>
    <row r="64" customFormat="false" ht="34.5" hidden="false" customHeight="true" outlineLevel="0" collapsed="false">
      <c r="A64" s="7" t="s">
        <v>574</v>
      </c>
      <c r="B64" s="7" t="s">
        <v>483</v>
      </c>
      <c r="C64" s="7" t="n">
        <v>2019</v>
      </c>
      <c r="D64" s="7" t="s">
        <v>575</v>
      </c>
      <c r="E64" s="7" t="s">
        <v>576</v>
      </c>
      <c r="F64" s="7" t="s">
        <v>577</v>
      </c>
      <c r="G64" s="7" t="s">
        <v>135</v>
      </c>
      <c r="H64" s="7" t="s">
        <v>486</v>
      </c>
      <c r="I64" s="7" t="s">
        <v>137</v>
      </c>
      <c r="J64" s="7" t="s">
        <v>487</v>
      </c>
      <c r="K64" s="7" t="s">
        <v>578</v>
      </c>
      <c r="L64" s="7"/>
      <c r="M64" s="7" t="n">
        <v>1</v>
      </c>
      <c r="N64" s="7" t="n">
        <v>0</v>
      </c>
      <c r="O64" s="7" t="n">
        <v>0</v>
      </c>
      <c r="P64" s="7" t="n">
        <v>1</v>
      </c>
      <c r="Q64" s="8" t="n">
        <f aca="false">SUM(M64:P64)</f>
        <v>2</v>
      </c>
      <c r="R64" s="8" t="str">
        <f aca="false">IF(Q64&gt;=3,"Yes","No")</f>
        <v>No</v>
      </c>
      <c r="S64" s="7" t="s">
        <v>579</v>
      </c>
      <c r="T64" s="7"/>
    </row>
    <row r="65" customFormat="false" ht="34.5" hidden="false" customHeight="true" outlineLevel="0" collapsed="false">
      <c r="A65" s="7" t="s">
        <v>580</v>
      </c>
      <c r="B65" s="7" t="s">
        <v>53</v>
      </c>
      <c r="C65" s="7" t="n">
        <v>2019</v>
      </c>
      <c r="D65" s="7" t="s">
        <v>581</v>
      </c>
      <c r="E65" s="7" t="s">
        <v>207</v>
      </c>
      <c r="F65" s="7" t="s">
        <v>582</v>
      </c>
      <c r="G65" s="7" t="s">
        <v>157</v>
      </c>
      <c r="H65" s="7" t="s">
        <v>427</v>
      </c>
      <c r="I65" s="7" t="s">
        <v>137</v>
      </c>
      <c r="J65" s="7"/>
      <c r="K65" s="7" t="s">
        <v>583</v>
      </c>
      <c r="L65" s="7"/>
      <c r="M65" s="7" t="n">
        <v>1</v>
      </c>
      <c r="N65" s="7" t="n">
        <v>1</v>
      </c>
      <c r="O65" s="7" t="n">
        <v>1</v>
      </c>
      <c r="P65" s="7" t="n">
        <v>1</v>
      </c>
      <c r="Q65" s="8" t="n">
        <f aca="false">SUM(M65:P65)</f>
        <v>4</v>
      </c>
      <c r="R65" s="8" t="str">
        <f aca="false">IF(Q65&gt;=3,"Yes","No")</f>
        <v>Yes</v>
      </c>
      <c r="S65" s="7" t="s">
        <v>584</v>
      </c>
      <c r="T65" s="7" t="s">
        <v>585</v>
      </c>
    </row>
    <row r="66" customFormat="false" ht="34.5" hidden="false" customHeight="true" outlineLevel="0" collapsed="false">
      <c r="A66" s="7" t="s">
        <v>586</v>
      </c>
      <c r="B66" s="7" t="s">
        <v>587</v>
      </c>
      <c r="C66" s="7" t="n">
        <v>2019</v>
      </c>
      <c r="D66" s="7" t="s">
        <v>588</v>
      </c>
      <c r="E66" s="7" t="s">
        <v>306</v>
      </c>
      <c r="F66" s="7" t="s">
        <v>589</v>
      </c>
      <c r="G66" s="7" t="s">
        <v>157</v>
      </c>
      <c r="H66" s="7" t="s">
        <v>590</v>
      </c>
      <c r="I66" s="7" t="s">
        <v>159</v>
      </c>
      <c r="J66" s="7" t="s">
        <v>591</v>
      </c>
      <c r="K66" s="7" t="s">
        <v>461</v>
      </c>
      <c r="L66" s="7"/>
      <c r="M66" s="7" t="n">
        <v>1</v>
      </c>
      <c r="N66" s="7" t="n">
        <v>0</v>
      </c>
      <c r="O66" s="7" t="n">
        <v>1</v>
      </c>
      <c r="P66" s="7" t="n">
        <v>1</v>
      </c>
      <c r="Q66" s="8" t="n">
        <f aca="false">SUM(M66:P66)</f>
        <v>3</v>
      </c>
      <c r="R66" s="8" t="str">
        <f aca="false">IF(Q66&gt;=3,"Yes","No")</f>
        <v>Yes</v>
      </c>
      <c r="S66" s="7" t="s">
        <v>592</v>
      </c>
      <c r="T66" s="7"/>
    </row>
    <row r="67" customFormat="false" ht="34.5" hidden="false" customHeight="true" outlineLevel="0" collapsed="false">
      <c r="A67" s="7" t="s">
        <v>593</v>
      </c>
      <c r="B67" s="7" t="s">
        <v>594</v>
      </c>
      <c r="C67" s="7" t="n">
        <v>2020</v>
      </c>
      <c r="D67" s="7" t="s">
        <v>595</v>
      </c>
      <c r="E67" s="7" t="s">
        <v>458</v>
      </c>
      <c r="F67" s="7" t="s">
        <v>596</v>
      </c>
      <c r="G67" s="7" t="s">
        <v>157</v>
      </c>
      <c r="H67" s="7" t="s">
        <v>597</v>
      </c>
      <c r="I67" s="7" t="s">
        <v>159</v>
      </c>
      <c r="J67" s="7" t="s">
        <v>598</v>
      </c>
      <c r="K67" s="7" t="s">
        <v>599</v>
      </c>
      <c r="L67" s="7"/>
      <c r="M67" s="7" t="n">
        <v>0</v>
      </c>
      <c r="N67" s="7" t="n">
        <v>0</v>
      </c>
      <c r="O67" s="7" t="n">
        <v>1</v>
      </c>
      <c r="P67" s="7" t="n">
        <v>1</v>
      </c>
      <c r="Q67" s="8" t="n">
        <f aca="false">SUM(M67:P67)</f>
        <v>2</v>
      </c>
      <c r="R67" s="8" t="str">
        <f aca="false">IF(Q67&gt;=3,"Yes","No")</f>
        <v>No</v>
      </c>
      <c r="S67" s="7" t="s">
        <v>600</v>
      </c>
      <c r="T67" s="7"/>
    </row>
    <row r="68" customFormat="false" ht="23.25" hidden="false" customHeight="true" outlineLevel="0" collapsed="false">
      <c r="A68" s="7" t="s">
        <v>601</v>
      </c>
      <c r="B68" s="7" t="s">
        <v>602</v>
      </c>
      <c r="C68" s="7" t="n">
        <v>2020</v>
      </c>
      <c r="D68" s="7" t="s">
        <v>603</v>
      </c>
      <c r="E68" s="7" t="s">
        <v>604</v>
      </c>
      <c r="F68" s="7" t="s">
        <v>605</v>
      </c>
      <c r="G68" s="7" t="s">
        <v>157</v>
      </c>
      <c r="H68" s="7" t="s">
        <v>606</v>
      </c>
      <c r="I68" s="7" t="s">
        <v>159</v>
      </c>
      <c r="J68" s="7" t="s">
        <v>607</v>
      </c>
      <c r="K68" s="7" t="s">
        <v>160</v>
      </c>
      <c r="L68" s="7"/>
      <c r="M68" s="7" t="n">
        <v>0</v>
      </c>
      <c r="N68" s="7" t="n">
        <v>0</v>
      </c>
      <c r="O68" s="7" t="n">
        <v>1</v>
      </c>
      <c r="P68" s="7" t="n">
        <v>0</v>
      </c>
      <c r="Q68" s="8" t="n">
        <f aca="false">SUM(M68:P68)</f>
        <v>1</v>
      </c>
      <c r="R68" s="8" t="str">
        <f aca="false">IF(Q68&gt;=3,"Yes","No")</f>
        <v>No</v>
      </c>
      <c r="S68" s="7" t="s">
        <v>608</v>
      </c>
      <c r="T68" s="7"/>
    </row>
    <row r="69" customFormat="false" ht="34.5" hidden="false" customHeight="true" outlineLevel="0" collapsed="false">
      <c r="A69" s="7" t="s">
        <v>609</v>
      </c>
      <c r="B69" s="7" t="s">
        <v>610</v>
      </c>
      <c r="C69" s="7" t="n">
        <v>2020</v>
      </c>
      <c r="D69" s="7" t="s">
        <v>611</v>
      </c>
      <c r="E69" s="7" t="s">
        <v>612</v>
      </c>
      <c r="F69" s="7" t="s">
        <v>613</v>
      </c>
      <c r="G69" s="7" t="s">
        <v>157</v>
      </c>
      <c r="H69" s="7" t="s">
        <v>590</v>
      </c>
      <c r="I69" s="7" t="s">
        <v>159</v>
      </c>
      <c r="J69" s="7" t="s">
        <v>614</v>
      </c>
      <c r="K69" s="7" t="s">
        <v>461</v>
      </c>
      <c r="L69" s="7"/>
      <c r="M69" s="7" t="n">
        <v>1</v>
      </c>
      <c r="N69" s="7" t="n">
        <v>0</v>
      </c>
      <c r="O69" s="7" t="n">
        <v>1</v>
      </c>
      <c r="P69" s="7" t="n">
        <v>1</v>
      </c>
      <c r="Q69" s="8" t="n">
        <f aca="false">SUM(M69:P69)</f>
        <v>3</v>
      </c>
      <c r="R69" s="8" t="str">
        <f aca="false">IF(Q69&gt;=3,"Yes","No")</f>
        <v>Yes</v>
      </c>
      <c r="S69" s="7" t="s">
        <v>615</v>
      </c>
      <c r="T69" s="7"/>
    </row>
    <row r="70" customFormat="false" ht="34.5" hidden="false" customHeight="true" outlineLevel="0" collapsed="false">
      <c r="A70" s="7" t="s">
        <v>616</v>
      </c>
      <c r="B70" s="7" t="s">
        <v>617</v>
      </c>
      <c r="C70" s="7" t="n">
        <v>2020</v>
      </c>
      <c r="D70" s="7" t="s">
        <v>618</v>
      </c>
      <c r="E70" s="7" t="s">
        <v>97</v>
      </c>
      <c r="F70" s="7" t="s">
        <v>619</v>
      </c>
      <c r="G70" s="7" t="s">
        <v>157</v>
      </c>
      <c r="H70" s="7" t="s">
        <v>193</v>
      </c>
      <c r="I70" s="7" t="s">
        <v>168</v>
      </c>
      <c r="J70" s="7"/>
      <c r="K70" s="7" t="s">
        <v>202</v>
      </c>
      <c r="L70" s="7"/>
      <c r="M70" s="7" t="n">
        <v>0</v>
      </c>
      <c r="N70" s="7" t="n">
        <v>1</v>
      </c>
      <c r="O70" s="7" t="n">
        <v>1</v>
      </c>
      <c r="P70" s="7" t="n">
        <v>1</v>
      </c>
      <c r="Q70" s="8" t="n">
        <f aca="false">SUM(M70:P70)</f>
        <v>3</v>
      </c>
      <c r="R70" s="8" t="str">
        <f aca="false">IF(Q70&gt;=3,"Yes","No")</f>
        <v>Yes</v>
      </c>
      <c r="S70" s="7" t="s">
        <v>620</v>
      </c>
      <c r="T70" s="7"/>
    </row>
    <row r="71" customFormat="false" ht="34.5" hidden="false" customHeight="true" outlineLevel="0" collapsed="false">
      <c r="A71" s="7" t="s">
        <v>621</v>
      </c>
      <c r="B71" s="7" t="s">
        <v>622</v>
      </c>
      <c r="C71" s="7" t="n">
        <v>2020</v>
      </c>
      <c r="D71" s="7" t="s">
        <v>623</v>
      </c>
      <c r="E71" s="7" t="s">
        <v>226</v>
      </c>
      <c r="F71" s="7" t="s">
        <v>624</v>
      </c>
      <c r="G71" s="7" t="s">
        <v>157</v>
      </c>
      <c r="H71" s="7" t="s">
        <v>193</v>
      </c>
      <c r="I71" s="7" t="s">
        <v>168</v>
      </c>
      <c r="J71" s="7"/>
      <c r="K71" s="7" t="s">
        <v>345</v>
      </c>
      <c r="L71" s="7"/>
      <c r="M71" s="7" t="n">
        <v>0</v>
      </c>
      <c r="N71" s="7" t="n">
        <v>0</v>
      </c>
      <c r="O71" s="7" t="n">
        <v>0</v>
      </c>
      <c r="P71" s="7" t="n">
        <v>1</v>
      </c>
      <c r="Q71" s="8" t="n">
        <f aca="false">SUM(M71:P71)</f>
        <v>1</v>
      </c>
      <c r="R71" s="8" t="str">
        <f aca="false">IF(Q71&gt;=3,"Yes","No")</f>
        <v>No</v>
      </c>
      <c r="S71" s="7" t="s">
        <v>625</v>
      </c>
      <c r="T71" s="7"/>
    </row>
    <row r="72" customFormat="false" ht="23.25" hidden="false" customHeight="true" outlineLevel="0" collapsed="false">
      <c r="A72" s="7" t="s">
        <v>626</v>
      </c>
      <c r="B72" s="7" t="s">
        <v>627</v>
      </c>
      <c r="C72" s="7" t="n">
        <v>2020</v>
      </c>
      <c r="D72" s="7" t="s">
        <v>628</v>
      </c>
      <c r="E72" s="7" t="s">
        <v>629</v>
      </c>
      <c r="F72" s="7" t="s">
        <v>630</v>
      </c>
      <c r="G72" s="7" t="s">
        <v>135</v>
      </c>
      <c r="H72" s="7" t="s">
        <v>343</v>
      </c>
      <c r="I72" s="7" t="s">
        <v>270</v>
      </c>
      <c r="J72" s="7"/>
      <c r="K72" s="7" t="s">
        <v>202</v>
      </c>
      <c r="L72" s="7"/>
      <c r="M72" s="7" t="n">
        <v>0</v>
      </c>
      <c r="N72" s="7" t="n">
        <v>0</v>
      </c>
      <c r="O72" s="7" t="n">
        <v>0</v>
      </c>
      <c r="P72" s="7" t="n">
        <v>0</v>
      </c>
      <c r="Q72" s="8" t="n">
        <f aca="false">SUM(M72:P72)</f>
        <v>0</v>
      </c>
      <c r="R72" s="8" t="str">
        <f aca="false">IF(Q72&gt;=3,"Yes","No")</f>
        <v>No</v>
      </c>
      <c r="S72" s="7" t="s">
        <v>631</v>
      </c>
      <c r="T72" s="7" t="s">
        <v>632</v>
      </c>
    </row>
    <row r="73" customFormat="false" ht="23.25" hidden="false" customHeight="true" outlineLevel="0" collapsed="false">
      <c r="A73" s="7" t="s">
        <v>633</v>
      </c>
      <c r="B73" s="7" t="s">
        <v>634</v>
      </c>
      <c r="C73" s="7" t="n">
        <v>2020</v>
      </c>
      <c r="D73" s="7" t="s">
        <v>635</v>
      </c>
      <c r="E73" s="7" t="s">
        <v>636</v>
      </c>
      <c r="F73" s="7" t="s">
        <v>637</v>
      </c>
      <c r="G73" s="7" t="s">
        <v>157</v>
      </c>
      <c r="H73" s="7" t="s">
        <v>638</v>
      </c>
      <c r="I73" s="7" t="s">
        <v>148</v>
      </c>
      <c r="J73" s="7" t="s">
        <v>639</v>
      </c>
      <c r="K73" s="7" t="s">
        <v>640</v>
      </c>
      <c r="L73" s="7" t="s">
        <v>239</v>
      </c>
      <c r="M73" s="7" t="n">
        <v>1</v>
      </c>
      <c r="N73" s="7" t="n">
        <v>1</v>
      </c>
      <c r="O73" s="7" t="n">
        <v>1</v>
      </c>
      <c r="P73" s="7" t="n">
        <v>1</v>
      </c>
      <c r="Q73" s="8" t="n">
        <f aca="false">SUM(M73:P73)</f>
        <v>4</v>
      </c>
      <c r="R73" s="8" t="str">
        <f aca="false">IF(Q73&gt;=3,"Yes","No")</f>
        <v>Yes</v>
      </c>
      <c r="S73" s="7" t="s">
        <v>641</v>
      </c>
      <c r="T73" s="7"/>
    </row>
    <row r="74" customFormat="false" ht="45.75" hidden="false" customHeight="true" outlineLevel="0" collapsed="false">
      <c r="A74" s="7" t="s">
        <v>642</v>
      </c>
      <c r="B74" s="7" t="s">
        <v>643</v>
      </c>
      <c r="C74" s="7" t="n">
        <v>2020</v>
      </c>
      <c r="D74" s="7" t="s">
        <v>644</v>
      </c>
      <c r="E74" s="7" t="s">
        <v>636</v>
      </c>
      <c r="F74" s="7" t="s">
        <v>645</v>
      </c>
      <c r="G74" s="7" t="s">
        <v>157</v>
      </c>
      <c r="H74" s="7" t="s">
        <v>590</v>
      </c>
      <c r="I74" s="7" t="s">
        <v>159</v>
      </c>
      <c r="J74" s="7"/>
      <c r="K74" s="7" t="s">
        <v>453</v>
      </c>
      <c r="L74" s="7"/>
      <c r="M74" s="7" t="n">
        <v>0</v>
      </c>
      <c r="N74" s="7" t="n">
        <v>0</v>
      </c>
      <c r="O74" s="7" t="n">
        <v>0</v>
      </c>
      <c r="P74" s="7" t="n">
        <v>0</v>
      </c>
      <c r="Q74" s="8" t="n">
        <f aca="false">SUM(M74:P74)</f>
        <v>0</v>
      </c>
      <c r="R74" s="8" t="str">
        <f aca="false">IF(Q74&gt;=3,"Yes","No")</f>
        <v>No</v>
      </c>
      <c r="S74" s="7" t="s">
        <v>646</v>
      </c>
      <c r="T74" s="7"/>
    </row>
    <row r="75" customFormat="false" ht="34.5" hidden="false" customHeight="true" outlineLevel="0" collapsed="false">
      <c r="A75" s="7" t="s">
        <v>647</v>
      </c>
      <c r="B75" s="7" t="s">
        <v>648</v>
      </c>
      <c r="C75" s="7" t="n">
        <v>2021</v>
      </c>
      <c r="D75" s="7" t="s">
        <v>649</v>
      </c>
      <c r="E75" s="7" t="s">
        <v>458</v>
      </c>
      <c r="F75" s="7" t="s">
        <v>650</v>
      </c>
      <c r="G75" s="7" t="s">
        <v>157</v>
      </c>
      <c r="H75" s="7" t="s">
        <v>218</v>
      </c>
      <c r="I75" s="7" t="s">
        <v>137</v>
      </c>
      <c r="J75" s="7" t="s">
        <v>651</v>
      </c>
      <c r="K75" s="7" t="s">
        <v>358</v>
      </c>
      <c r="L75" s="7"/>
      <c r="M75" s="7" t="n">
        <v>1</v>
      </c>
      <c r="N75" s="7" t="n">
        <v>0</v>
      </c>
      <c r="O75" s="7" t="n">
        <v>0</v>
      </c>
      <c r="P75" s="7" t="n">
        <v>1</v>
      </c>
      <c r="Q75" s="8" t="n">
        <f aca="false">SUM(M75:P75)</f>
        <v>2</v>
      </c>
      <c r="R75" s="8" t="str">
        <f aca="false">IF(Q75&gt;=3,"Yes","No")</f>
        <v>No</v>
      </c>
      <c r="S75" s="7" t="s">
        <v>652</v>
      </c>
      <c r="T75" s="7"/>
    </row>
    <row r="76" customFormat="false" ht="23.25" hidden="false" customHeight="true" outlineLevel="0" collapsed="false">
      <c r="A76" s="7" t="s">
        <v>653</v>
      </c>
      <c r="B76" s="7" t="s">
        <v>654</v>
      </c>
      <c r="C76" s="7" t="n">
        <v>2021</v>
      </c>
      <c r="D76" s="7" t="s">
        <v>655</v>
      </c>
      <c r="E76" s="7" t="s">
        <v>656</v>
      </c>
      <c r="F76" s="7" t="s">
        <v>657</v>
      </c>
      <c r="G76" s="7" t="s">
        <v>135</v>
      </c>
      <c r="H76" s="7" t="s">
        <v>526</v>
      </c>
      <c r="I76" s="7" t="s">
        <v>451</v>
      </c>
      <c r="J76" s="7"/>
      <c r="K76" s="7" t="s">
        <v>202</v>
      </c>
      <c r="L76" s="7"/>
      <c r="M76" s="7" t="n">
        <v>0</v>
      </c>
      <c r="N76" s="7" t="n">
        <v>1</v>
      </c>
      <c r="O76" s="7" t="n">
        <v>0</v>
      </c>
      <c r="P76" s="7" t="n">
        <v>0</v>
      </c>
      <c r="Q76" s="8" t="n">
        <f aca="false">SUM(M76:P76)</f>
        <v>1</v>
      </c>
      <c r="R76" s="8" t="str">
        <f aca="false">IF(Q76&gt;=3,"Yes","No")</f>
        <v>No</v>
      </c>
      <c r="S76" s="7" t="s">
        <v>658</v>
      </c>
      <c r="T76" s="7" t="s">
        <v>659</v>
      </c>
    </row>
    <row r="77" customFormat="false" ht="34.5" hidden="false" customHeight="true" outlineLevel="0" collapsed="false">
      <c r="A77" s="7" t="s">
        <v>660</v>
      </c>
      <c r="B77" s="7" t="s">
        <v>661</v>
      </c>
      <c r="C77" s="7" t="n">
        <v>2021</v>
      </c>
      <c r="D77" s="7" t="s">
        <v>662</v>
      </c>
      <c r="E77" s="7" t="s">
        <v>663</v>
      </c>
      <c r="F77" s="7" t="s">
        <v>664</v>
      </c>
      <c r="G77" s="7" t="s">
        <v>157</v>
      </c>
      <c r="H77" s="7" t="s">
        <v>427</v>
      </c>
      <c r="I77" s="7" t="s">
        <v>137</v>
      </c>
      <c r="J77" s="7" t="s">
        <v>665</v>
      </c>
      <c r="K77" s="7" t="s">
        <v>289</v>
      </c>
      <c r="L77" s="7"/>
      <c r="M77" s="7" t="n">
        <v>0</v>
      </c>
      <c r="N77" s="7" t="n">
        <v>1</v>
      </c>
      <c r="O77" s="7" t="n">
        <v>1</v>
      </c>
      <c r="P77" s="7" t="n">
        <v>1</v>
      </c>
      <c r="Q77" s="8" t="n">
        <f aca="false">SUM(M77:P77)</f>
        <v>3</v>
      </c>
      <c r="R77" s="8" t="str">
        <f aca="false">IF(Q77&gt;=3,"Yes","No")</f>
        <v>Yes</v>
      </c>
      <c r="S77" s="7" t="s">
        <v>666</v>
      </c>
      <c r="T77" s="7"/>
    </row>
    <row r="78" customFormat="false" ht="34.5" hidden="false" customHeight="true" outlineLevel="0" collapsed="false">
      <c r="A78" s="7" t="s">
        <v>667</v>
      </c>
      <c r="B78" s="7" t="s">
        <v>668</v>
      </c>
      <c r="C78" s="7" t="n">
        <v>2021</v>
      </c>
      <c r="D78" s="7" t="s">
        <v>669</v>
      </c>
      <c r="E78" s="7" t="s">
        <v>670</v>
      </c>
      <c r="F78" s="7"/>
      <c r="G78" s="7" t="s">
        <v>146</v>
      </c>
      <c r="H78" s="7" t="s">
        <v>336</v>
      </c>
      <c r="I78" s="7" t="s">
        <v>137</v>
      </c>
      <c r="J78" s="7"/>
      <c r="K78" s="7" t="s">
        <v>453</v>
      </c>
      <c r="L78" s="7"/>
      <c r="M78" s="7" t="n">
        <v>1</v>
      </c>
      <c r="N78" s="7" t="n">
        <v>1</v>
      </c>
      <c r="O78" s="7" t="n">
        <v>0</v>
      </c>
      <c r="P78" s="7" t="n">
        <v>1</v>
      </c>
      <c r="Q78" s="8" t="n">
        <f aca="false">SUM(M78:P78)</f>
        <v>3</v>
      </c>
      <c r="R78" s="8" t="str">
        <f aca="false">IF(Q78&gt;=3,"Yes","No")</f>
        <v>Yes</v>
      </c>
      <c r="S78" s="7" t="s">
        <v>671</v>
      </c>
      <c r="T78" s="7"/>
    </row>
    <row r="79" customFormat="false" ht="34.5" hidden="false" customHeight="true" outlineLevel="0" collapsed="false">
      <c r="A79" s="7" t="s">
        <v>672</v>
      </c>
      <c r="B79" s="7" t="s">
        <v>673</v>
      </c>
      <c r="C79" s="7" t="n">
        <v>2021</v>
      </c>
      <c r="D79" s="7" t="s">
        <v>674</v>
      </c>
      <c r="E79" s="7" t="s">
        <v>675</v>
      </c>
      <c r="F79" s="7" t="s">
        <v>676</v>
      </c>
      <c r="G79" s="7" t="s">
        <v>157</v>
      </c>
      <c r="H79" s="7" t="s">
        <v>228</v>
      </c>
      <c r="I79" s="7" t="s">
        <v>148</v>
      </c>
      <c r="J79" s="7" t="s">
        <v>677</v>
      </c>
      <c r="K79" s="7" t="s">
        <v>323</v>
      </c>
      <c r="L79" s="7"/>
      <c r="M79" s="7" t="n">
        <v>1</v>
      </c>
      <c r="N79" s="7" t="n">
        <v>1</v>
      </c>
      <c r="O79" s="7" t="n">
        <v>1</v>
      </c>
      <c r="P79" s="7" t="n">
        <v>1</v>
      </c>
      <c r="Q79" s="8" t="n">
        <f aca="false">SUM(M79:P79)</f>
        <v>4</v>
      </c>
      <c r="R79" s="8" t="str">
        <f aca="false">IF(Q79&gt;=3,"Yes","No")</f>
        <v>Yes</v>
      </c>
      <c r="S79" s="7" t="s">
        <v>678</v>
      </c>
      <c r="T79" s="7"/>
    </row>
    <row r="80" customFormat="false" ht="45.75" hidden="false" customHeight="true" outlineLevel="0" collapsed="false">
      <c r="A80" s="7" t="s">
        <v>679</v>
      </c>
      <c r="B80" s="7" t="s">
        <v>594</v>
      </c>
      <c r="C80" s="7" t="n">
        <v>2022</v>
      </c>
      <c r="D80" s="7" t="s">
        <v>680</v>
      </c>
      <c r="E80" s="7" t="s">
        <v>235</v>
      </c>
      <c r="F80" s="7" t="s">
        <v>681</v>
      </c>
      <c r="G80" s="7" t="s">
        <v>135</v>
      </c>
      <c r="H80" s="7" t="s">
        <v>597</v>
      </c>
      <c r="I80" s="7" t="s">
        <v>159</v>
      </c>
      <c r="J80" s="7" t="s">
        <v>598</v>
      </c>
      <c r="K80" s="7" t="s">
        <v>280</v>
      </c>
      <c r="L80" s="7" t="s">
        <v>281</v>
      </c>
      <c r="M80" s="7" t="n">
        <v>0</v>
      </c>
      <c r="N80" s="7" t="n">
        <v>0</v>
      </c>
      <c r="O80" s="7" t="n">
        <v>1</v>
      </c>
      <c r="P80" s="7" t="n">
        <v>1</v>
      </c>
      <c r="Q80" s="8" t="n">
        <f aca="false">SUM(M80:P80)</f>
        <v>2</v>
      </c>
      <c r="R80" s="8" t="str">
        <f aca="false">IF(Q80&gt;=3,"Yes","No")</f>
        <v>No</v>
      </c>
      <c r="S80" s="7" t="s">
        <v>682</v>
      </c>
      <c r="T80" s="7" t="s">
        <v>683</v>
      </c>
    </row>
    <row r="81" customFormat="false" ht="34.5" hidden="false" customHeight="true" outlineLevel="0" collapsed="false">
      <c r="A81" s="7" t="s">
        <v>684</v>
      </c>
      <c r="B81" s="7" t="s">
        <v>685</v>
      </c>
      <c r="C81" s="7" t="n">
        <v>2022</v>
      </c>
      <c r="D81" s="7" t="s">
        <v>686</v>
      </c>
      <c r="E81" s="7" t="s">
        <v>687</v>
      </c>
      <c r="F81" s="7" t="s">
        <v>688</v>
      </c>
      <c r="G81" s="7" t="s">
        <v>157</v>
      </c>
      <c r="H81" s="7" t="s">
        <v>201</v>
      </c>
      <c r="I81" s="7" t="s">
        <v>159</v>
      </c>
      <c r="J81" s="7"/>
      <c r="K81" s="7" t="s">
        <v>160</v>
      </c>
      <c r="L81" s="7"/>
      <c r="M81" s="7" t="n">
        <v>0</v>
      </c>
      <c r="N81" s="7" t="n">
        <v>0</v>
      </c>
      <c r="O81" s="7" t="n">
        <v>1</v>
      </c>
      <c r="P81" s="7" t="n">
        <v>0</v>
      </c>
      <c r="Q81" s="8" t="n">
        <f aca="false">SUM(M81:P81)</f>
        <v>1</v>
      </c>
      <c r="R81" s="8" t="str">
        <f aca="false">IF(Q81&gt;=3,"Yes","No")</f>
        <v>No</v>
      </c>
      <c r="S81" s="7" t="s">
        <v>689</v>
      </c>
      <c r="T81" s="7"/>
    </row>
    <row r="82" customFormat="false" ht="34.5" hidden="false" customHeight="true" outlineLevel="0" collapsed="false">
      <c r="A82" s="7" t="s">
        <v>690</v>
      </c>
      <c r="B82" s="7" t="s">
        <v>691</v>
      </c>
      <c r="C82" s="7" t="n">
        <v>2022</v>
      </c>
      <c r="D82" s="7" t="s">
        <v>692</v>
      </c>
      <c r="E82" s="7" t="s">
        <v>693</v>
      </c>
      <c r="F82" s="7" t="s">
        <v>694</v>
      </c>
      <c r="G82" s="7" t="s">
        <v>157</v>
      </c>
      <c r="H82" s="7" t="s">
        <v>695</v>
      </c>
      <c r="I82" s="7" t="s">
        <v>270</v>
      </c>
      <c r="J82" s="7"/>
      <c r="K82" s="7" t="s">
        <v>345</v>
      </c>
      <c r="L82" s="7"/>
      <c r="M82" s="7" t="n">
        <v>0</v>
      </c>
      <c r="N82" s="7" t="n">
        <v>0</v>
      </c>
      <c r="O82" s="7" t="n">
        <v>0</v>
      </c>
      <c r="P82" s="7" t="n">
        <v>1</v>
      </c>
      <c r="Q82" s="8" t="n">
        <f aca="false">SUM(M82:P82)</f>
        <v>1</v>
      </c>
      <c r="R82" s="8" t="str">
        <f aca="false">IF(Q82&gt;=3,"Yes","No")</f>
        <v>No</v>
      </c>
      <c r="S82" s="7" t="s">
        <v>696</v>
      </c>
      <c r="T82" s="7"/>
    </row>
    <row r="83" customFormat="false" ht="45.75" hidden="false" customHeight="true" outlineLevel="0" collapsed="false">
      <c r="A83" s="7" t="s">
        <v>697</v>
      </c>
      <c r="B83" s="7" t="s">
        <v>698</v>
      </c>
      <c r="C83" s="7" t="n">
        <v>2022</v>
      </c>
      <c r="D83" s="7" t="s">
        <v>699</v>
      </c>
      <c r="E83" s="7" t="s">
        <v>700</v>
      </c>
      <c r="F83" s="7" t="s">
        <v>701</v>
      </c>
      <c r="G83" s="7" t="s">
        <v>157</v>
      </c>
      <c r="H83" s="7" t="s">
        <v>201</v>
      </c>
      <c r="I83" s="7" t="s">
        <v>159</v>
      </c>
      <c r="J83" s="7"/>
      <c r="K83" s="7" t="s">
        <v>461</v>
      </c>
      <c r="L83" s="7"/>
      <c r="M83" s="7" t="n">
        <v>0</v>
      </c>
      <c r="N83" s="7" t="n">
        <v>1</v>
      </c>
      <c r="O83" s="7" t="n">
        <v>1</v>
      </c>
      <c r="P83" s="7" t="n">
        <v>1</v>
      </c>
      <c r="Q83" s="8" t="n">
        <f aca="false">SUM(M83:P83)</f>
        <v>3</v>
      </c>
      <c r="R83" s="8" t="str">
        <f aca="false">IF(Q83&gt;=3,"Yes","No")</f>
        <v>Yes</v>
      </c>
      <c r="S83" s="7" t="s">
        <v>702</v>
      </c>
      <c r="T83" s="7"/>
    </row>
    <row r="84" customFormat="false" ht="45.75" hidden="false" customHeight="true" outlineLevel="0" collapsed="false">
      <c r="A84" s="7" t="s">
        <v>703</v>
      </c>
      <c r="B84" s="7" t="s">
        <v>704</v>
      </c>
      <c r="C84" s="7" t="n">
        <v>2022</v>
      </c>
      <c r="D84" s="7" t="s">
        <v>705</v>
      </c>
      <c r="E84" s="7" t="s">
        <v>706</v>
      </c>
      <c r="F84" s="7" t="s">
        <v>707</v>
      </c>
      <c r="G84" s="7" t="s">
        <v>157</v>
      </c>
      <c r="H84" s="7" t="s">
        <v>336</v>
      </c>
      <c r="I84" s="7" t="s">
        <v>137</v>
      </c>
      <c r="J84" s="7" t="s">
        <v>708</v>
      </c>
      <c r="K84" s="7" t="s">
        <v>429</v>
      </c>
      <c r="L84" s="7" t="s">
        <v>709</v>
      </c>
      <c r="M84" s="7" t="n">
        <v>0</v>
      </c>
      <c r="N84" s="7" t="n">
        <v>1</v>
      </c>
      <c r="O84" s="7" t="n">
        <v>1</v>
      </c>
      <c r="P84" s="7" t="n">
        <v>1</v>
      </c>
      <c r="Q84" s="8" t="n">
        <f aca="false">SUM(M84:P84)</f>
        <v>3</v>
      </c>
      <c r="R84" s="8" t="str">
        <f aca="false">IF(Q84&gt;=3,"Yes","No")</f>
        <v>Yes</v>
      </c>
      <c r="S84" s="7" t="s">
        <v>710</v>
      </c>
      <c r="T84" s="7"/>
    </row>
    <row r="85" customFormat="false" ht="34.5" hidden="false" customHeight="true" outlineLevel="0" collapsed="false">
      <c r="A85" s="7" t="s">
        <v>711</v>
      </c>
      <c r="B85" s="7" t="s">
        <v>535</v>
      </c>
      <c r="C85" s="7" t="n">
        <v>2022</v>
      </c>
      <c r="D85" s="7" t="s">
        <v>712</v>
      </c>
      <c r="E85" s="7" t="s">
        <v>713</v>
      </c>
      <c r="F85" s="7" t="s">
        <v>714</v>
      </c>
      <c r="G85" s="7" t="s">
        <v>157</v>
      </c>
      <c r="H85" s="7" t="s">
        <v>228</v>
      </c>
      <c r="I85" s="7" t="s">
        <v>148</v>
      </c>
      <c r="J85" s="7" t="s">
        <v>715</v>
      </c>
      <c r="K85" s="7" t="s">
        <v>323</v>
      </c>
      <c r="L85" s="7"/>
      <c r="M85" s="7" t="n">
        <v>1</v>
      </c>
      <c r="N85" s="7" t="n">
        <v>1</v>
      </c>
      <c r="O85" s="7" t="n">
        <v>1</v>
      </c>
      <c r="P85" s="7" t="n">
        <v>1</v>
      </c>
      <c r="Q85" s="8" t="n">
        <f aca="false">SUM(M85:P85)</f>
        <v>4</v>
      </c>
      <c r="R85" s="8" t="str">
        <f aca="false">IF(Q85&gt;=3,"Yes","No")</f>
        <v>Yes</v>
      </c>
      <c r="S85" s="7" t="s">
        <v>716</v>
      </c>
      <c r="T85" s="7"/>
    </row>
    <row r="86" customFormat="false" ht="34.5" hidden="false" customHeight="true" outlineLevel="0" collapsed="false">
      <c r="A86" s="7" t="s">
        <v>717</v>
      </c>
      <c r="B86" s="7" t="s">
        <v>627</v>
      </c>
      <c r="C86" s="7" t="n">
        <v>2022</v>
      </c>
      <c r="D86" s="7" t="s">
        <v>718</v>
      </c>
      <c r="E86" s="7" t="s">
        <v>719</v>
      </c>
      <c r="F86" s="7" t="s">
        <v>720</v>
      </c>
      <c r="G86" s="7" t="s">
        <v>135</v>
      </c>
      <c r="H86" s="7" t="s">
        <v>343</v>
      </c>
      <c r="I86" s="7" t="s">
        <v>270</v>
      </c>
      <c r="J86" s="7"/>
      <c r="K86" s="7" t="s">
        <v>194</v>
      </c>
      <c r="L86" s="7"/>
      <c r="M86" s="7" t="n">
        <v>0</v>
      </c>
      <c r="N86" s="7" t="n">
        <v>0</v>
      </c>
      <c r="O86" s="7" t="n">
        <v>1</v>
      </c>
      <c r="P86" s="7" t="n">
        <v>1</v>
      </c>
      <c r="Q86" s="8" t="n">
        <f aca="false">SUM(M86:P86)</f>
        <v>2</v>
      </c>
      <c r="R86" s="8" t="str">
        <f aca="false">IF(Q86&gt;=3,"Yes","No")</f>
        <v>No</v>
      </c>
      <c r="S86" s="7" t="s">
        <v>721</v>
      </c>
      <c r="T86" s="7" t="s">
        <v>632</v>
      </c>
    </row>
    <row r="87" customFormat="false" ht="34.5" hidden="false" customHeight="true" outlineLevel="0" collapsed="false">
      <c r="A87" s="7" t="s">
        <v>722</v>
      </c>
      <c r="B87" s="7" t="s">
        <v>333</v>
      </c>
      <c r="C87" s="7" t="n">
        <v>2022</v>
      </c>
      <c r="D87" s="7" t="s">
        <v>723</v>
      </c>
      <c r="E87" s="7" t="s">
        <v>724</v>
      </c>
      <c r="F87" s="7" t="s">
        <v>725</v>
      </c>
      <c r="G87" s="7" t="s">
        <v>135</v>
      </c>
      <c r="H87" s="7" t="s">
        <v>336</v>
      </c>
      <c r="I87" s="7" t="s">
        <v>137</v>
      </c>
      <c r="J87" s="7"/>
      <c r="K87" s="7" t="s">
        <v>386</v>
      </c>
      <c r="L87" s="7" t="s">
        <v>239</v>
      </c>
      <c r="M87" s="7" t="n">
        <v>1</v>
      </c>
      <c r="N87" s="7" t="n">
        <v>0</v>
      </c>
      <c r="O87" s="7" t="n">
        <v>0</v>
      </c>
      <c r="P87" s="7" t="n">
        <v>1</v>
      </c>
      <c r="Q87" s="8" t="n">
        <f aca="false">SUM(M87:P87)</f>
        <v>2</v>
      </c>
      <c r="R87" s="8" t="str">
        <f aca="false">IF(Q87&gt;=3,"Yes","No")</f>
        <v>No</v>
      </c>
      <c r="S87" s="7" t="s">
        <v>726</v>
      </c>
      <c r="T87" s="7" t="s">
        <v>381</v>
      </c>
    </row>
    <row r="88" customFormat="false" ht="34.5" hidden="false" customHeight="true" outlineLevel="0" collapsed="false">
      <c r="A88" s="7" t="s">
        <v>727</v>
      </c>
      <c r="B88" s="7" t="s">
        <v>728</v>
      </c>
      <c r="C88" s="7" t="n">
        <v>2022</v>
      </c>
      <c r="D88" s="7" t="s">
        <v>729</v>
      </c>
      <c r="E88" s="7" t="s">
        <v>260</v>
      </c>
      <c r="F88" s="7" t="s">
        <v>730</v>
      </c>
      <c r="G88" s="7" t="s">
        <v>157</v>
      </c>
      <c r="H88" s="7" t="s">
        <v>427</v>
      </c>
      <c r="I88" s="7" t="s">
        <v>137</v>
      </c>
      <c r="J88" s="7" t="s">
        <v>731</v>
      </c>
      <c r="K88" s="7" t="s">
        <v>732</v>
      </c>
      <c r="L88" s="7" t="s">
        <v>186</v>
      </c>
      <c r="M88" s="7" t="n">
        <v>1</v>
      </c>
      <c r="N88" s="7" t="n">
        <v>1</v>
      </c>
      <c r="O88" s="7" t="n">
        <v>1</v>
      </c>
      <c r="P88" s="7" t="n">
        <v>1</v>
      </c>
      <c r="Q88" s="8" t="n">
        <f aca="false">SUM(M88:P88)</f>
        <v>4</v>
      </c>
      <c r="R88" s="8" t="str">
        <f aca="false">IF(Q88&gt;=3,"Yes","No")</f>
        <v>Yes</v>
      </c>
      <c r="S88" s="7" t="s">
        <v>733</v>
      </c>
      <c r="T88" s="7"/>
    </row>
    <row r="89" customFormat="false" ht="45.75" hidden="false" customHeight="true" outlineLevel="0" collapsed="false">
      <c r="A89" s="7" t="s">
        <v>734</v>
      </c>
      <c r="B89" s="7" t="s">
        <v>735</v>
      </c>
      <c r="C89" s="7" t="n">
        <v>2022</v>
      </c>
      <c r="D89" s="7" t="s">
        <v>736</v>
      </c>
      <c r="E89" s="7" t="s">
        <v>737</v>
      </c>
      <c r="F89" s="7" t="s">
        <v>738</v>
      </c>
      <c r="G89" s="7" t="s">
        <v>157</v>
      </c>
      <c r="H89" s="7" t="s">
        <v>308</v>
      </c>
      <c r="I89" s="7" t="s">
        <v>159</v>
      </c>
      <c r="J89" s="7"/>
      <c r="K89" s="7" t="s">
        <v>150</v>
      </c>
      <c r="L89" s="7"/>
      <c r="M89" s="7" t="n">
        <v>0</v>
      </c>
      <c r="N89" s="7" t="n">
        <v>0</v>
      </c>
      <c r="O89" s="7" t="n">
        <v>1</v>
      </c>
      <c r="P89" s="7" t="n">
        <v>0</v>
      </c>
      <c r="Q89" s="8" t="n">
        <f aca="false">SUM(M89:P89)</f>
        <v>1</v>
      </c>
      <c r="R89" s="8" t="str">
        <f aca="false">IF(Q89&gt;=3,"Yes","No")</f>
        <v>No</v>
      </c>
      <c r="S89" s="7" t="s">
        <v>739</v>
      </c>
      <c r="T89" s="7"/>
    </row>
    <row r="90" customFormat="false" ht="34.5" hidden="false" customHeight="true" outlineLevel="0" collapsed="false">
      <c r="A90" s="7" t="s">
        <v>740</v>
      </c>
      <c r="B90" s="7" t="s">
        <v>741</v>
      </c>
      <c r="C90" s="7" t="n">
        <v>2022</v>
      </c>
      <c r="D90" s="7" t="s">
        <v>742</v>
      </c>
      <c r="E90" s="7" t="s">
        <v>306</v>
      </c>
      <c r="F90" s="7" t="s">
        <v>743</v>
      </c>
      <c r="G90" s="7" t="s">
        <v>157</v>
      </c>
      <c r="H90" s="7" t="s">
        <v>343</v>
      </c>
      <c r="I90" s="7" t="s">
        <v>270</v>
      </c>
      <c r="J90" s="7" t="s">
        <v>288</v>
      </c>
      <c r="K90" s="7" t="s">
        <v>744</v>
      </c>
      <c r="L90" s="7" t="s">
        <v>281</v>
      </c>
      <c r="M90" s="7" t="n">
        <v>1</v>
      </c>
      <c r="N90" s="7" t="n">
        <v>1</v>
      </c>
      <c r="O90" s="7" t="n">
        <v>1</v>
      </c>
      <c r="P90" s="7" t="n">
        <v>1</v>
      </c>
      <c r="Q90" s="8" t="n">
        <f aca="false">SUM(M90:P90)</f>
        <v>4</v>
      </c>
      <c r="R90" s="8" t="str">
        <f aca="false">IF(Q90&gt;=3,"Yes","No")</f>
        <v>Yes</v>
      </c>
      <c r="S90" s="7" t="s">
        <v>745</v>
      </c>
      <c r="T90" s="7"/>
    </row>
    <row r="91" customFormat="false" ht="34.5" hidden="false" customHeight="true" outlineLevel="0" collapsed="false">
      <c r="A91" s="7" t="s">
        <v>746</v>
      </c>
      <c r="B91" s="7" t="s">
        <v>747</v>
      </c>
      <c r="C91" s="7" t="n">
        <v>2023</v>
      </c>
      <c r="D91" s="7" t="s">
        <v>748</v>
      </c>
      <c r="E91" s="7" t="s">
        <v>511</v>
      </c>
      <c r="F91" s="7" t="s">
        <v>749</v>
      </c>
      <c r="G91" s="7" t="s">
        <v>157</v>
      </c>
      <c r="H91" s="7" t="s">
        <v>468</v>
      </c>
      <c r="I91" s="7" t="s">
        <v>451</v>
      </c>
      <c r="J91" s="7" t="s">
        <v>750</v>
      </c>
      <c r="K91" s="7" t="s">
        <v>420</v>
      </c>
      <c r="L91" s="7"/>
      <c r="M91" s="7" t="n">
        <v>1</v>
      </c>
      <c r="N91" s="7" t="n">
        <v>1</v>
      </c>
      <c r="O91" s="7" t="n">
        <v>0</v>
      </c>
      <c r="P91" s="7" t="n">
        <v>1</v>
      </c>
      <c r="Q91" s="8" t="n">
        <f aca="false">SUM(M91:P91)</f>
        <v>3</v>
      </c>
      <c r="R91" s="8" t="str">
        <f aca="false">IF(Q91&gt;=3,"Yes","No")</f>
        <v>Yes</v>
      </c>
      <c r="S91" s="7" t="s">
        <v>751</v>
      </c>
      <c r="T91" s="7"/>
    </row>
    <row r="92" customFormat="false" ht="23.25" hidden="false" customHeight="true" outlineLevel="0" collapsed="false">
      <c r="A92" s="7" t="s">
        <v>752</v>
      </c>
      <c r="B92" s="7" t="s">
        <v>747</v>
      </c>
      <c r="C92" s="7" t="n">
        <v>2023</v>
      </c>
      <c r="D92" s="7" t="s">
        <v>753</v>
      </c>
      <c r="E92" s="7" t="s">
        <v>458</v>
      </c>
      <c r="F92" s="7" t="s">
        <v>754</v>
      </c>
      <c r="G92" s="7" t="s">
        <v>157</v>
      </c>
      <c r="H92" s="7" t="s">
        <v>468</v>
      </c>
      <c r="I92" s="7" t="s">
        <v>451</v>
      </c>
      <c r="J92" s="7"/>
      <c r="K92" s="7" t="s">
        <v>420</v>
      </c>
      <c r="L92" s="7"/>
      <c r="M92" s="7" t="n">
        <v>0</v>
      </c>
      <c r="N92" s="7" t="n">
        <v>0</v>
      </c>
      <c r="O92" s="7" t="n">
        <v>0</v>
      </c>
      <c r="P92" s="7" t="n">
        <v>1</v>
      </c>
      <c r="Q92" s="8" t="n">
        <f aca="false">SUM(M92:P92)</f>
        <v>1</v>
      </c>
      <c r="R92" s="8" t="str">
        <f aca="false">IF(Q92&gt;=3,"Yes","No")</f>
        <v>No</v>
      </c>
      <c r="S92" s="7" t="s">
        <v>755</v>
      </c>
      <c r="T92" s="7"/>
    </row>
    <row r="93" customFormat="false" ht="34.5" hidden="false" customHeight="true" outlineLevel="0" collapsed="false">
      <c r="A93" s="7" t="s">
        <v>756</v>
      </c>
      <c r="B93" s="7" t="s">
        <v>747</v>
      </c>
      <c r="C93" s="7" t="n">
        <v>2023</v>
      </c>
      <c r="D93" s="7" t="s">
        <v>757</v>
      </c>
      <c r="E93" s="7" t="s">
        <v>758</v>
      </c>
      <c r="F93" s="7" t="s">
        <v>759</v>
      </c>
      <c r="G93" s="7" t="s">
        <v>157</v>
      </c>
      <c r="H93" s="7" t="s">
        <v>468</v>
      </c>
      <c r="I93" s="7" t="s">
        <v>451</v>
      </c>
      <c r="J93" s="7" t="s">
        <v>760</v>
      </c>
      <c r="K93" s="7" t="s">
        <v>420</v>
      </c>
      <c r="L93" s="7"/>
      <c r="M93" s="7" t="n">
        <v>1</v>
      </c>
      <c r="N93" s="7" t="n">
        <v>0</v>
      </c>
      <c r="O93" s="7" t="n">
        <v>0</v>
      </c>
      <c r="P93" s="7" t="n">
        <v>1</v>
      </c>
      <c r="Q93" s="8" t="n">
        <f aca="false">SUM(M93:P93)</f>
        <v>2</v>
      </c>
      <c r="R93" s="8" t="str">
        <f aca="false">IF(Q93&gt;=3,"Yes","No")</f>
        <v>No</v>
      </c>
      <c r="S93" s="7" t="s">
        <v>761</v>
      </c>
      <c r="T93" s="7"/>
    </row>
    <row r="94" customFormat="false" ht="34.5" hidden="false" customHeight="true" outlineLevel="0" collapsed="false">
      <c r="A94" s="7" t="s">
        <v>762</v>
      </c>
      <c r="B94" s="7" t="s">
        <v>747</v>
      </c>
      <c r="C94" s="7" t="n">
        <v>2023</v>
      </c>
      <c r="D94" s="7" t="s">
        <v>763</v>
      </c>
      <c r="E94" s="7" t="s">
        <v>764</v>
      </c>
      <c r="F94" s="7" t="s">
        <v>765</v>
      </c>
      <c r="G94" s="7" t="s">
        <v>157</v>
      </c>
      <c r="H94" s="7" t="s">
        <v>468</v>
      </c>
      <c r="I94" s="7" t="s">
        <v>451</v>
      </c>
      <c r="J94" s="7"/>
      <c r="K94" s="7" t="s">
        <v>420</v>
      </c>
      <c r="L94" s="7"/>
      <c r="M94" s="7" t="n">
        <v>1</v>
      </c>
      <c r="N94" s="7" t="n">
        <v>0</v>
      </c>
      <c r="O94" s="7" t="n">
        <v>0</v>
      </c>
      <c r="P94" s="7" t="n">
        <v>1</v>
      </c>
      <c r="Q94" s="8" t="n">
        <f aca="false">SUM(M94:P94)</f>
        <v>2</v>
      </c>
      <c r="R94" s="8" t="str">
        <f aca="false">IF(Q94&gt;=3,"Yes","No")</f>
        <v>No</v>
      </c>
      <c r="S94" s="7" t="s">
        <v>766</v>
      </c>
      <c r="T94" s="7"/>
    </row>
    <row r="95" customFormat="false" ht="23.25" hidden="false" customHeight="true" outlineLevel="0" collapsed="false">
      <c r="A95" s="7" t="s">
        <v>767</v>
      </c>
      <c r="B95" s="7" t="s">
        <v>768</v>
      </c>
      <c r="C95" s="7" t="n">
        <v>2023</v>
      </c>
      <c r="D95" s="7" t="s">
        <v>769</v>
      </c>
      <c r="E95" s="7" t="s">
        <v>770</v>
      </c>
      <c r="F95" s="7" t="s">
        <v>771</v>
      </c>
      <c r="G95" s="7" t="s">
        <v>135</v>
      </c>
      <c r="H95" s="7" t="s">
        <v>772</v>
      </c>
      <c r="I95" s="7" t="s">
        <v>451</v>
      </c>
      <c r="J95" s="7"/>
      <c r="K95" s="7" t="s">
        <v>150</v>
      </c>
      <c r="L95" s="7"/>
      <c r="M95" s="7" t="n">
        <v>0</v>
      </c>
      <c r="N95" s="7" t="n">
        <v>0</v>
      </c>
      <c r="O95" s="7" t="n">
        <v>1</v>
      </c>
      <c r="P95" s="7" t="n">
        <v>0</v>
      </c>
      <c r="Q95" s="8" t="n">
        <f aca="false">SUM(M95:P95)</f>
        <v>1</v>
      </c>
      <c r="R95" s="8" t="str">
        <f aca="false">IF(Q95&gt;=3,"Yes","No")</f>
        <v>No</v>
      </c>
      <c r="S95" s="7" t="s">
        <v>773</v>
      </c>
      <c r="T95" s="7"/>
    </row>
    <row r="96" customFormat="false" ht="34.5" hidden="false" customHeight="true" outlineLevel="0" collapsed="false">
      <c r="A96" s="7" t="s">
        <v>774</v>
      </c>
      <c r="B96" s="7" t="s">
        <v>775</v>
      </c>
      <c r="C96" s="7" t="n">
        <v>2023</v>
      </c>
      <c r="D96" s="7" t="s">
        <v>776</v>
      </c>
      <c r="E96" s="7" t="s">
        <v>777</v>
      </c>
      <c r="F96" s="7" t="s">
        <v>778</v>
      </c>
      <c r="G96" s="7" t="s">
        <v>157</v>
      </c>
      <c r="H96" s="7" t="s">
        <v>779</v>
      </c>
      <c r="I96" s="7" t="s">
        <v>137</v>
      </c>
      <c r="J96" s="7" t="s">
        <v>780</v>
      </c>
      <c r="K96" s="7" t="s">
        <v>386</v>
      </c>
      <c r="L96" s="7" t="s">
        <v>221</v>
      </c>
      <c r="M96" s="7" t="n">
        <v>1</v>
      </c>
      <c r="N96" s="7" t="n">
        <v>1</v>
      </c>
      <c r="O96" s="7" t="n">
        <v>1</v>
      </c>
      <c r="P96" s="7" t="n">
        <v>1</v>
      </c>
      <c r="Q96" s="8" t="n">
        <f aca="false">SUM(M96:P96)</f>
        <v>4</v>
      </c>
      <c r="R96" s="8" t="str">
        <f aca="false">IF(Q96&gt;=3,"Yes","No")</f>
        <v>Yes</v>
      </c>
      <c r="S96" s="7" t="s">
        <v>781</v>
      </c>
      <c r="T96" s="7"/>
    </row>
    <row r="97" customFormat="false" ht="45.75" hidden="false" customHeight="true" outlineLevel="0" collapsed="false">
      <c r="A97" s="7" t="s">
        <v>782</v>
      </c>
      <c r="B97" s="7" t="s">
        <v>783</v>
      </c>
      <c r="C97" s="7" t="n">
        <v>2023</v>
      </c>
      <c r="D97" s="7" t="s">
        <v>784</v>
      </c>
      <c r="E97" s="7" t="s">
        <v>785</v>
      </c>
      <c r="F97" s="7" t="s">
        <v>786</v>
      </c>
      <c r="G97" s="7" t="s">
        <v>157</v>
      </c>
      <c r="H97" s="7" t="s">
        <v>401</v>
      </c>
      <c r="I97" s="7" t="s">
        <v>270</v>
      </c>
      <c r="J97" s="7"/>
      <c r="K97" s="7" t="s">
        <v>787</v>
      </c>
      <c r="L97" s="7" t="s">
        <v>186</v>
      </c>
      <c r="M97" s="7" t="n">
        <v>0</v>
      </c>
      <c r="N97" s="7" t="n">
        <v>1</v>
      </c>
      <c r="O97" s="7" t="n">
        <v>1</v>
      </c>
      <c r="P97" s="7" t="n">
        <v>1</v>
      </c>
      <c r="Q97" s="8" t="n">
        <f aca="false">SUM(M97:P97)</f>
        <v>3</v>
      </c>
      <c r="R97" s="8" t="str">
        <f aca="false">IF(Q97&gt;=3,"Yes","No")</f>
        <v>Yes</v>
      </c>
      <c r="S97" s="7" t="s">
        <v>788</v>
      </c>
      <c r="T97" s="7" t="s">
        <v>789</v>
      </c>
    </row>
    <row r="98" customFormat="false" ht="34.5" hidden="false" customHeight="true" outlineLevel="0" collapsed="false">
      <c r="A98" s="7" t="s">
        <v>790</v>
      </c>
      <c r="B98" s="7" t="s">
        <v>791</v>
      </c>
      <c r="C98" s="7" t="n">
        <v>2023</v>
      </c>
      <c r="D98" s="7" t="s">
        <v>792</v>
      </c>
      <c r="E98" s="7" t="s">
        <v>793</v>
      </c>
      <c r="F98" s="7" t="s">
        <v>794</v>
      </c>
      <c r="G98" s="7" t="s">
        <v>135</v>
      </c>
      <c r="H98" s="7" t="s">
        <v>795</v>
      </c>
      <c r="I98" s="7" t="s">
        <v>168</v>
      </c>
      <c r="J98" s="7"/>
      <c r="K98" s="7" t="s">
        <v>796</v>
      </c>
      <c r="L98" s="7"/>
      <c r="M98" s="7" t="n">
        <v>1</v>
      </c>
      <c r="N98" s="7" t="n">
        <v>0</v>
      </c>
      <c r="O98" s="7" t="n">
        <v>0</v>
      </c>
      <c r="P98" s="7" t="n">
        <v>1</v>
      </c>
      <c r="Q98" s="8" t="n">
        <f aca="false">SUM(M98:P98)</f>
        <v>2</v>
      </c>
      <c r="R98" s="8" t="str">
        <f aca="false">IF(Q98&gt;=3,"Yes","No")</f>
        <v>No</v>
      </c>
      <c r="S98" s="7" t="s">
        <v>797</v>
      </c>
      <c r="T98" s="7"/>
    </row>
    <row r="99" customFormat="false" ht="34.5" hidden="false" customHeight="true" outlineLevel="0" collapsed="false">
      <c r="A99" s="7" t="s">
        <v>798</v>
      </c>
      <c r="B99" s="7" t="s">
        <v>799</v>
      </c>
      <c r="C99" s="7" t="n">
        <v>2023</v>
      </c>
      <c r="D99" s="7" t="s">
        <v>800</v>
      </c>
      <c r="E99" s="7" t="s">
        <v>801</v>
      </c>
      <c r="F99" s="7" t="s">
        <v>802</v>
      </c>
      <c r="G99" s="7" t="s">
        <v>157</v>
      </c>
      <c r="H99" s="7" t="s">
        <v>228</v>
      </c>
      <c r="I99" s="7" t="s">
        <v>148</v>
      </c>
      <c r="J99" s="7" t="s">
        <v>803</v>
      </c>
      <c r="K99" s="7" t="s">
        <v>202</v>
      </c>
      <c r="L99" s="7"/>
      <c r="M99" s="7" t="n">
        <v>0</v>
      </c>
      <c r="N99" s="7" t="n">
        <v>0</v>
      </c>
      <c r="O99" s="7" t="n">
        <v>1</v>
      </c>
      <c r="P99" s="7" t="n">
        <v>1</v>
      </c>
      <c r="Q99" s="8" t="n">
        <f aca="false">SUM(M99:P99)</f>
        <v>2</v>
      </c>
      <c r="R99" s="8" t="str">
        <f aca="false">IF(Q99&gt;=3,"Yes","No")</f>
        <v>No</v>
      </c>
      <c r="S99" s="7" t="s">
        <v>804</v>
      </c>
      <c r="T99" s="7"/>
    </row>
    <row r="100" customFormat="false" ht="34.5" hidden="false" customHeight="true" outlineLevel="0" collapsed="false">
      <c r="A100" s="7" t="s">
        <v>805</v>
      </c>
      <c r="B100" s="7" t="s">
        <v>806</v>
      </c>
      <c r="C100" s="7" t="n">
        <v>2023</v>
      </c>
      <c r="D100" s="7" t="s">
        <v>807</v>
      </c>
      <c r="E100" s="7" t="s">
        <v>808</v>
      </c>
      <c r="F100" s="7" t="s">
        <v>809</v>
      </c>
      <c r="G100" s="7" t="s">
        <v>157</v>
      </c>
      <c r="H100" s="7" t="s">
        <v>810</v>
      </c>
      <c r="I100" s="7" t="s">
        <v>148</v>
      </c>
      <c r="J100" s="7" t="s">
        <v>811</v>
      </c>
      <c r="K100" s="7" t="s">
        <v>202</v>
      </c>
      <c r="L100" s="7"/>
      <c r="M100" s="7" t="n">
        <v>0</v>
      </c>
      <c r="N100" s="7" t="n">
        <v>0</v>
      </c>
      <c r="O100" s="7" t="n">
        <v>0</v>
      </c>
      <c r="P100" s="7" t="n">
        <v>1</v>
      </c>
      <c r="Q100" s="8" t="n">
        <f aca="false">SUM(M100:P100)</f>
        <v>1</v>
      </c>
      <c r="R100" s="8" t="str">
        <f aca="false">IF(Q100&gt;=3,"Yes","No")</f>
        <v>No</v>
      </c>
      <c r="S100" s="7" t="s">
        <v>812</v>
      </c>
      <c r="T100" s="7"/>
    </row>
    <row r="101" customFormat="false" ht="34.5" hidden="false" customHeight="true" outlineLevel="0" collapsed="false">
      <c r="A101" s="7" t="s">
        <v>813</v>
      </c>
      <c r="B101" s="7" t="s">
        <v>814</v>
      </c>
      <c r="C101" s="7" t="n">
        <v>2023</v>
      </c>
      <c r="D101" s="7" t="s">
        <v>815</v>
      </c>
      <c r="E101" s="7" t="s">
        <v>511</v>
      </c>
      <c r="F101" s="7" t="s">
        <v>816</v>
      </c>
      <c r="G101" s="7" t="s">
        <v>157</v>
      </c>
      <c r="H101" s="7" t="s">
        <v>526</v>
      </c>
      <c r="I101" s="7" t="s">
        <v>451</v>
      </c>
      <c r="J101" s="7"/>
      <c r="K101" s="7" t="s">
        <v>453</v>
      </c>
      <c r="L101" s="7"/>
      <c r="M101" s="7" t="n">
        <v>0</v>
      </c>
      <c r="N101" s="7" t="n">
        <v>1</v>
      </c>
      <c r="O101" s="7" t="n">
        <v>1</v>
      </c>
      <c r="P101" s="7" t="n">
        <v>1</v>
      </c>
      <c r="Q101" s="8" t="n">
        <f aca="false">SUM(M101:P101)</f>
        <v>3</v>
      </c>
      <c r="R101" s="8" t="str">
        <f aca="false">IF(Q101&gt;=3,"Yes","No")</f>
        <v>Yes</v>
      </c>
      <c r="S101" s="7" t="s">
        <v>817</v>
      </c>
      <c r="T101" s="7"/>
    </row>
    <row r="102" customFormat="false" ht="34.5" hidden="false" customHeight="true" outlineLevel="0" collapsed="false">
      <c r="A102" s="7" t="s">
        <v>818</v>
      </c>
      <c r="B102" s="7" t="s">
        <v>819</v>
      </c>
      <c r="C102" s="7" t="n">
        <v>2023</v>
      </c>
      <c r="D102" s="7" t="s">
        <v>820</v>
      </c>
      <c r="E102" s="7" t="s">
        <v>226</v>
      </c>
      <c r="F102" s="7" t="s">
        <v>821</v>
      </c>
      <c r="G102" s="7" t="s">
        <v>157</v>
      </c>
      <c r="H102" s="7" t="s">
        <v>822</v>
      </c>
      <c r="I102" s="7" t="s">
        <v>451</v>
      </c>
      <c r="J102" s="7"/>
      <c r="K102" s="7" t="s">
        <v>823</v>
      </c>
      <c r="L102" s="7"/>
      <c r="M102" s="7" t="n">
        <v>0</v>
      </c>
      <c r="N102" s="7" t="n">
        <v>1</v>
      </c>
      <c r="O102" s="7" t="n">
        <v>1</v>
      </c>
      <c r="P102" s="7" t="n">
        <v>1</v>
      </c>
      <c r="Q102" s="8" t="n">
        <f aca="false">SUM(M102:P102)</f>
        <v>3</v>
      </c>
      <c r="R102" s="8" t="str">
        <f aca="false">IF(Q102&gt;=3,"Yes","No")</f>
        <v>Yes</v>
      </c>
      <c r="S102" s="7" t="s">
        <v>824</v>
      </c>
      <c r="T102" s="7"/>
    </row>
    <row r="103" customFormat="false" ht="34.5" hidden="false" customHeight="true" outlineLevel="0" collapsed="false">
      <c r="A103" s="7" t="s">
        <v>825</v>
      </c>
      <c r="B103" s="7" t="s">
        <v>826</v>
      </c>
      <c r="C103" s="7" t="n">
        <v>2023</v>
      </c>
      <c r="D103" s="7" t="s">
        <v>827</v>
      </c>
      <c r="E103" s="7" t="s">
        <v>663</v>
      </c>
      <c r="F103" s="7" t="s">
        <v>828</v>
      </c>
      <c r="G103" s="7" t="s">
        <v>146</v>
      </c>
      <c r="H103" s="7" t="s">
        <v>427</v>
      </c>
      <c r="I103" s="7" t="s">
        <v>137</v>
      </c>
      <c r="J103" s="7"/>
      <c r="K103" s="7" t="s">
        <v>829</v>
      </c>
      <c r="L103" s="7"/>
      <c r="M103" s="7" t="n">
        <v>0</v>
      </c>
      <c r="N103" s="7" t="n">
        <v>1</v>
      </c>
      <c r="O103" s="7" t="n">
        <v>1</v>
      </c>
      <c r="P103" s="7" t="n">
        <v>1</v>
      </c>
      <c r="Q103" s="8" t="n">
        <f aca="false">SUM(M103:P103)</f>
        <v>3</v>
      </c>
      <c r="R103" s="8" t="str">
        <f aca="false">IF(Q103&gt;=3,"Yes","No")</f>
        <v>Yes</v>
      </c>
      <c r="S103" s="7" t="s">
        <v>830</v>
      </c>
      <c r="T103" s="7"/>
    </row>
    <row r="104" customFormat="false" ht="34.5" hidden="false" customHeight="true" outlineLevel="0" collapsed="false">
      <c r="A104" s="7" t="s">
        <v>831</v>
      </c>
      <c r="B104" s="7" t="s">
        <v>832</v>
      </c>
      <c r="C104" s="7" t="n">
        <v>2023</v>
      </c>
      <c r="D104" s="7" t="s">
        <v>833</v>
      </c>
      <c r="E104" s="7" t="s">
        <v>356</v>
      </c>
      <c r="F104" s="7" t="s">
        <v>834</v>
      </c>
      <c r="G104" s="7" t="s">
        <v>157</v>
      </c>
      <c r="H104" s="7" t="s">
        <v>427</v>
      </c>
      <c r="I104" s="7" t="s">
        <v>137</v>
      </c>
      <c r="J104" s="7" t="s">
        <v>835</v>
      </c>
      <c r="K104" s="7" t="s">
        <v>185</v>
      </c>
      <c r="L104" s="7" t="s">
        <v>221</v>
      </c>
      <c r="M104" s="7" t="n">
        <v>1</v>
      </c>
      <c r="N104" s="7" t="n">
        <v>1</v>
      </c>
      <c r="O104" s="7" t="n">
        <v>0</v>
      </c>
      <c r="P104" s="7" t="n">
        <v>1</v>
      </c>
      <c r="Q104" s="8" t="n">
        <f aca="false">SUM(M104:P104)</f>
        <v>3</v>
      </c>
      <c r="R104" s="8" t="str">
        <f aca="false">IF(Q104&gt;=3,"Yes","No")</f>
        <v>Yes</v>
      </c>
      <c r="S104" s="7" t="s">
        <v>836</v>
      </c>
      <c r="T104" s="7"/>
    </row>
    <row r="105" customFormat="false" ht="45.75" hidden="false" customHeight="true" outlineLevel="0" collapsed="false">
      <c r="A105" s="7" t="s">
        <v>837</v>
      </c>
      <c r="B105" s="7" t="s">
        <v>838</v>
      </c>
      <c r="C105" s="7" t="n">
        <v>2023</v>
      </c>
      <c r="D105" s="7" t="s">
        <v>839</v>
      </c>
      <c r="E105" s="7" t="s">
        <v>321</v>
      </c>
      <c r="F105" s="7" t="s">
        <v>840</v>
      </c>
      <c r="G105" s="7" t="s">
        <v>135</v>
      </c>
      <c r="H105" s="7" t="s">
        <v>228</v>
      </c>
      <c r="I105" s="7" t="s">
        <v>148</v>
      </c>
      <c r="J105" s="7" t="s">
        <v>841</v>
      </c>
      <c r="K105" s="7" t="s">
        <v>323</v>
      </c>
      <c r="L105" s="7"/>
      <c r="M105" s="7" t="n">
        <v>1</v>
      </c>
      <c r="N105" s="7" t="n">
        <v>1</v>
      </c>
      <c r="O105" s="7" t="n">
        <v>1</v>
      </c>
      <c r="P105" s="7" t="n">
        <v>1</v>
      </c>
      <c r="Q105" s="8" t="n">
        <f aca="false">SUM(M105:P105)</f>
        <v>4</v>
      </c>
      <c r="R105" s="8" t="str">
        <f aca="false">IF(Q105&gt;=3,"Yes","No")</f>
        <v>Yes</v>
      </c>
      <c r="S105" s="7" t="s">
        <v>842</v>
      </c>
      <c r="T105" s="7"/>
    </row>
    <row r="106" customFormat="false" ht="45.75" hidden="false" customHeight="true" outlineLevel="0" collapsed="false">
      <c r="A106" s="7" t="s">
        <v>843</v>
      </c>
      <c r="B106" s="7" t="s">
        <v>844</v>
      </c>
      <c r="C106" s="7" t="n">
        <v>2023</v>
      </c>
      <c r="D106" s="7" t="s">
        <v>845</v>
      </c>
      <c r="E106" s="7" t="s">
        <v>511</v>
      </c>
      <c r="F106" s="7" t="s">
        <v>846</v>
      </c>
      <c r="G106" s="7" t="s">
        <v>157</v>
      </c>
      <c r="H106" s="7" t="s">
        <v>401</v>
      </c>
      <c r="I106" s="7" t="s">
        <v>270</v>
      </c>
      <c r="J106" s="7"/>
      <c r="K106" s="7" t="s">
        <v>461</v>
      </c>
      <c r="L106" s="7"/>
      <c r="M106" s="7" t="n">
        <v>0</v>
      </c>
      <c r="N106" s="7" t="n">
        <v>0</v>
      </c>
      <c r="O106" s="7" t="n">
        <v>1</v>
      </c>
      <c r="P106" s="7" t="n">
        <v>0</v>
      </c>
      <c r="Q106" s="8" t="n">
        <f aca="false">SUM(M106:P106)</f>
        <v>1</v>
      </c>
      <c r="R106" s="8" t="str">
        <f aca="false">IF(Q106&gt;=3,"Yes","No")</f>
        <v>No</v>
      </c>
      <c r="S106" s="7" t="s">
        <v>847</v>
      </c>
      <c r="T106" s="7"/>
    </row>
    <row r="107" customFormat="false" ht="34.5" hidden="false" customHeight="true" outlineLevel="0" collapsed="false">
      <c r="A107" s="7" t="s">
        <v>848</v>
      </c>
      <c r="B107" s="7" t="s">
        <v>849</v>
      </c>
      <c r="C107" s="7" t="n">
        <v>2024</v>
      </c>
      <c r="D107" s="7" t="s">
        <v>850</v>
      </c>
      <c r="E107" s="7" t="s">
        <v>851</v>
      </c>
      <c r="F107" s="7" t="s">
        <v>852</v>
      </c>
      <c r="G107" s="7" t="s">
        <v>157</v>
      </c>
      <c r="H107" s="7" t="s">
        <v>401</v>
      </c>
      <c r="I107" s="7" t="s">
        <v>270</v>
      </c>
      <c r="J107" s="7"/>
      <c r="K107" s="7" t="s">
        <v>150</v>
      </c>
      <c r="L107" s="7"/>
      <c r="M107" s="7" t="n">
        <v>0</v>
      </c>
      <c r="N107" s="7" t="n">
        <v>0</v>
      </c>
      <c r="O107" s="7" t="n">
        <v>1</v>
      </c>
      <c r="P107" s="7" t="n">
        <v>1</v>
      </c>
      <c r="Q107" s="8" t="n">
        <f aca="false">SUM(M107:P107)</f>
        <v>2</v>
      </c>
      <c r="R107" s="8" t="str">
        <f aca="false">IF(Q107&gt;=3,"Yes","No")</f>
        <v>No</v>
      </c>
      <c r="S107" s="7" t="s">
        <v>853</v>
      </c>
      <c r="T107" s="7" t="s">
        <v>854</v>
      </c>
    </row>
    <row r="108" customFormat="false" ht="34.5" hidden="false" customHeight="true" outlineLevel="0" collapsed="false">
      <c r="A108" s="7" t="s">
        <v>855</v>
      </c>
      <c r="B108" s="7" t="s">
        <v>856</v>
      </c>
      <c r="C108" s="7" t="n">
        <v>2024</v>
      </c>
      <c r="D108" s="7" t="s">
        <v>857</v>
      </c>
      <c r="E108" s="7" t="s">
        <v>306</v>
      </c>
      <c r="F108" s="7" t="s">
        <v>858</v>
      </c>
      <c r="G108" s="7" t="s">
        <v>157</v>
      </c>
      <c r="H108" s="7" t="s">
        <v>427</v>
      </c>
      <c r="I108" s="7" t="s">
        <v>137</v>
      </c>
      <c r="J108" s="7" t="s">
        <v>859</v>
      </c>
      <c r="K108" s="7" t="s">
        <v>860</v>
      </c>
      <c r="L108" s="7" t="s">
        <v>861</v>
      </c>
      <c r="M108" s="7" t="n">
        <v>0</v>
      </c>
      <c r="N108" s="7" t="n">
        <v>1</v>
      </c>
      <c r="O108" s="7" t="n">
        <v>1</v>
      </c>
      <c r="P108" s="7" t="n">
        <v>1</v>
      </c>
      <c r="Q108" s="8" t="n">
        <f aca="false">SUM(M108:P108)</f>
        <v>3</v>
      </c>
      <c r="R108" s="8" t="str">
        <f aca="false">IF(Q108&gt;=3,"Yes","No")</f>
        <v>Yes</v>
      </c>
      <c r="S108" s="7" t="s">
        <v>862</v>
      </c>
      <c r="T108" s="7"/>
    </row>
    <row r="109" customFormat="false" ht="23.25" hidden="false" customHeight="true" outlineLevel="0" collapsed="false">
      <c r="A109" s="7" t="s">
        <v>863</v>
      </c>
      <c r="B109" s="7" t="s">
        <v>864</v>
      </c>
      <c r="C109" s="7" t="n">
        <v>2024</v>
      </c>
      <c r="D109" s="7" t="s">
        <v>865</v>
      </c>
      <c r="E109" s="7" t="s">
        <v>866</v>
      </c>
      <c r="F109" s="7" t="s">
        <v>867</v>
      </c>
      <c r="G109" s="7" t="s">
        <v>135</v>
      </c>
      <c r="H109" s="7" t="s">
        <v>401</v>
      </c>
      <c r="I109" s="7" t="s">
        <v>270</v>
      </c>
      <c r="J109" s="7"/>
      <c r="K109" s="7" t="s">
        <v>150</v>
      </c>
      <c r="L109" s="7"/>
      <c r="M109" s="7" t="n">
        <v>0</v>
      </c>
      <c r="N109" s="7" t="n">
        <v>1</v>
      </c>
      <c r="O109" s="7" t="n">
        <v>1</v>
      </c>
      <c r="P109" s="7" t="n">
        <v>0</v>
      </c>
      <c r="Q109" s="8" t="n">
        <f aca="false">SUM(M109:P109)</f>
        <v>2</v>
      </c>
      <c r="R109" s="8" t="str">
        <f aca="false">IF(Q109&gt;=3,"Yes","No")</f>
        <v>No</v>
      </c>
      <c r="S109" s="7" t="s">
        <v>868</v>
      </c>
      <c r="T109" s="7"/>
    </row>
    <row r="110" customFormat="false" ht="34.5" hidden="false" customHeight="true" outlineLevel="0" collapsed="false">
      <c r="A110" s="7" t="s">
        <v>869</v>
      </c>
      <c r="B110" s="7" t="s">
        <v>870</v>
      </c>
      <c r="C110" s="7" t="n">
        <v>2024</v>
      </c>
      <c r="D110" s="7" t="s">
        <v>871</v>
      </c>
      <c r="E110" s="7" t="s">
        <v>675</v>
      </c>
      <c r="F110" s="7" t="s">
        <v>872</v>
      </c>
      <c r="G110" s="7" t="s">
        <v>157</v>
      </c>
      <c r="H110" s="7" t="s">
        <v>401</v>
      </c>
      <c r="I110" s="7" t="s">
        <v>270</v>
      </c>
      <c r="J110" s="7"/>
      <c r="K110" s="7" t="s">
        <v>873</v>
      </c>
      <c r="L110" s="7"/>
      <c r="M110" s="7" t="n">
        <v>0</v>
      </c>
      <c r="N110" s="7" t="n">
        <v>1</v>
      </c>
      <c r="O110" s="7" t="n">
        <v>0</v>
      </c>
      <c r="P110" s="7" t="n">
        <v>0</v>
      </c>
      <c r="Q110" s="8" t="n">
        <f aca="false">SUM(M110:P110)</f>
        <v>1</v>
      </c>
      <c r="R110" s="8" t="str">
        <f aca="false">IF(Q110&gt;=3,"Yes","No")</f>
        <v>No</v>
      </c>
      <c r="S110" s="7" t="s">
        <v>874</v>
      </c>
      <c r="T110" s="7"/>
    </row>
    <row r="111" customFormat="false" ht="34.5" hidden="false" customHeight="true" outlineLevel="0" collapsed="false">
      <c r="A111" s="7" t="s">
        <v>875</v>
      </c>
      <c r="B111" s="7" t="s">
        <v>876</v>
      </c>
      <c r="C111" s="7" t="n">
        <v>2024</v>
      </c>
      <c r="D111" s="7" t="s">
        <v>877</v>
      </c>
      <c r="E111" s="7" t="s">
        <v>675</v>
      </c>
      <c r="F111" s="7" t="s">
        <v>878</v>
      </c>
      <c r="G111" s="7" t="s">
        <v>135</v>
      </c>
      <c r="H111" s="7" t="s">
        <v>228</v>
      </c>
      <c r="I111" s="7" t="s">
        <v>148</v>
      </c>
      <c r="J111" s="7" t="s">
        <v>879</v>
      </c>
      <c r="K111" s="7" t="s">
        <v>150</v>
      </c>
      <c r="L111" s="7"/>
      <c r="M111" s="7" t="n">
        <v>0</v>
      </c>
      <c r="N111" s="7" t="n">
        <v>0</v>
      </c>
      <c r="O111" s="7" t="n">
        <v>1</v>
      </c>
      <c r="P111" s="7" t="n">
        <v>0</v>
      </c>
      <c r="Q111" s="8" t="n">
        <f aca="false">SUM(M111:P111)</f>
        <v>1</v>
      </c>
      <c r="R111" s="8" t="str">
        <f aca="false">IF(Q111&gt;=3,"Yes","No")</f>
        <v>No</v>
      </c>
      <c r="S111" s="7" t="s">
        <v>880</v>
      </c>
      <c r="T111" s="7"/>
    </row>
    <row r="112" customFormat="false" ht="45.75" hidden="false" customHeight="true" outlineLevel="0" collapsed="false">
      <c r="A112" s="7" t="s">
        <v>881</v>
      </c>
      <c r="B112" s="7" t="s">
        <v>882</v>
      </c>
      <c r="C112" s="7" t="n">
        <v>2024</v>
      </c>
      <c r="D112" s="7" t="s">
        <v>883</v>
      </c>
      <c r="E112" s="7" t="s">
        <v>884</v>
      </c>
      <c r="F112" s="7" t="s">
        <v>885</v>
      </c>
      <c r="G112" s="7" t="s">
        <v>157</v>
      </c>
      <c r="H112" s="7" t="s">
        <v>468</v>
      </c>
      <c r="I112" s="7" t="s">
        <v>451</v>
      </c>
      <c r="J112" s="7" t="s">
        <v>886</v>
      </c>
      <c r="K112" s="7" t="s">
        <v>453</v>
      </c>
      <c r="L112" s="7"/>
      <c r="M112" s="7" t="n">
        <v>0</v>
      </c>
      <c r="N112" s="7" t="n">
        <v>1</v>
      </c>
      <c r="O112" s="7" t="n">
        <v>1</v>
      </c>
      <c r="P112" s="7" t="n">
        <v>1</v>
      </c>
      <c r="Q112" s="8" t="n">
        <f aca="false">SUM(M112:P112)</f>
        <v>3</v>
      </c>
      <c r="R112" s="8" t="str">
        <f aca="false">IF(Q112&gt;=3,"Yes","No")</f>
        <v>Yes</v>
      </c>
      <c r="S112" s="7" t="s">
        <v>887</v>
      </c>
      <c r="T112" s="7"/>
    </row>
    <row r="113" customFormat="false" ht="34.5" hidden="false" customHeight="true" outlineLevel="0" collapsed="false">
      <c r="A113" s="7" t="s">
        <v>888</v>
      </c>
      <c r="B113" s="7" t="s">
        <v>889</v>
      </c>
      <c r="C113" s="7" t="n">
        <v>2024</v>
      </c>
      <c r="D113" s="7" t="s">
        <v>890</v>
      </c>
      <c r="E113" s="7" t="s">
        <v>891</v>
      </c>
      <c r="F113" s="7" t="s">
        <v>892</v>
      </c>
      <c r="G113" s="7" t="s">
        <v>157</v>
      </c>
      <c r="H113" s="7" t="s">
        <v>893</v>
      </c>
      <c r="I113" s="7" t="s">
        <v>159</v>
      </c>
      <c r="J113" s="7" t="s">
        <v>894</v>
      </c>
      <c r="K113" s="7" t="s">
        <v>420</v>
      </c>
      <c r="L113" s="7"/>
      <c r="M113" s="7" t="n">
        <v>1</v>
      </c>
      <c r="N113" s="7" t="n">
        <v>0</v>
      </c>
      <c r="O113" s="7" t="n">
        <v>0</v>
      </c>
      <c r="P113" s="7" t="n">
        <v>1</v>
      </c>
      <c r="Q113" s="8" t="n">
        <f aca="false">SUM(M113:P113)</f>
        <v>2</v>
      </c>
      <c r="R113" s="8" t="str">
        <f aca="false">IF(Q113&gt;=3,"Yes","No")</f>
        <v>No</v>
      </c>
      <c r="S113" s="7" t="s">
        <v>895</v>
      </c>
      <c r="T113" s="7"/>
    </row>
    <row r="114" customFormat="false" ht="45.75" hidden="false" customHeight="true" outlineLevel="0" collapsed="false">
      <c r="A114" s="7" t="s">
        <v>896</v>
      </c>
      <c r="B114" s="7" t="s">
        <v>897</v>
      </c>
      <c r="C114" s="7" t="n">
        <v>2024</v>
      </c>
      <c r="D114" s="7" t="s">
        <v>898</v>
      </c>
      <c r="E114" s="7" t="s">
        <v>899</v>
      </c>
      <c r="F114" s="7" t="s">
        <v>900</v>
      </c>
      <c r="G114" s="7" t="s">
        <v>157</v>
      </c>
      <c r="H114" s="7" t="s">
        <v>193</v>
      </c>
      <c r="I114" s="7" t="s">
        <v>168</v>
      </c>
      <c r="J114" s="7"/>
      <c r="K114" s="7" t="s">
        <v>202</v>
      </c>
      <c r="L114" s="7"/>
      <c r="M114" s="7" t="n">
        <v>0</v>
      </c>
      <c r="N114" s="7" t="n">
        <v>1</v>
      </c>
      <c r="O114" s="7" t="n">
        <v>0</v>
      </c>
      <c r="P114" s="7" t="n">
        <v>1</v>
      </c>
      <c r="Q114" s="8" t="n">
        <f aca="false">SUM(M114:P114)</f>
        <v>2</v>
      </c>
      <c r="R114" s="8" t="str">
        <f aca="false">IF(Q114&gt;=3,"Yes","No")</f>
        <v>No</v>
      </c>
      <c r="S114" s="7" t="s">
        <v>901</v>
      </c>
      <c r="T114" s="7"/>
    </row>
    <row r="115" customFormat="false" ht="45.75" hidden="false" customHeight="true" outlineLevel="0" collapsed="false">
      <c r="A115" s="7" t="s">
        <v>902</v>
      </c>
      <c r="B115" s="7" t="s">
        <v>903</v>
      </c>
      <c r="C115" s="7" t="n">
        <v>2024</v>
      </c>
      <c r="D115" s="7" t="s">
        <v>904</v>
      </c>
      <c r="E115" s="7" t="s">
        <v>905</v>
      </c>
      <c r="F115" s="7" t="s">
        <v>906</v>
      </c>
      <c r="G115" s="7" t="s">
        <v>157</v>
      </c>
      <c r="H115" s="7" t="s">
        <v>228</v>
      </c>
      <c r="I115" s="7" t="s">
        <v>148</v>
      </c>
      <c r="J115" s="7"/>
      <c r="K115" s="7" t="s">
        <v>907</v>
      </c>
      <c r="L115" s="7"/>
      <c r="M115" s="7" t="n">
        <v>1</v>
      </c>
      <c r="N115" s="7" t="n">
        <v>1</v>
      </c>
      <c r="O115" s="7" t="n">
        <v>1</v>
      </c>
      <c r="P115" s="7" t="n">
        <v>1</v>
      </c>
      <c r="Q115" s="8" t="n">
        <f aca="false">SUM(M115:P115)</f>
        <v>4</v>
      </c>
      <c r="R115" s="8" t="str">
        <f aca="false">IF(Q115&gt;=3,"Yes","No")</f>
        <v>Yes</v>
      </c>
      <c r="S115" s="7" t="s">
        <v>908</v>
      </c>
      <c r="T115" s="7"/>
    </row>
    <row r="116" customFormat="false" ht="34.5" hidden="false" customHeight="true" outlineLevel="0" collapsed="false">
      <c r="A116" s="7" t="s">
        <v>909</v>
      </c>
      <c r="B116" s="7" t="s">
        <v>910</v>
      </c>
      <c r="C116" s="7" t="n">
        <v>2024</v>
      </c>
      <c r="D116" s="7" t="s">
        <v>911</v>
      </c>
      <c r="E116" s="7" t="s">
        <v>884</v>
      </c>
      <c r="F116" s="7" t="s">
        <v>912</v>
      </c>
      <c r="G116" s="7" t="s">
        <v>157</v>
      </c>
      <c r="H116" s="7" t="s">
        <v>228</v>
      </c>
      <c r="I116" s="7" t="s">
        <v>148</v>
      </c>
      <c r="J116" s="7" t="s">
        <v>913</v>
      </c>
      <c r="K116" s="7" t="s">
        <v>914</v>
      </c>
      <c r="L116" s="7"/>
      <c r="M116" s="7" t="n">
        <v>0</v>
      </c>
      <c r="N116" s="7" t="n">
        <v>0</v>
      </c>
      <c r="O116" s="7" t="n">
        <v>1</v>
      </c>
      <c r="P116" s="7" t="n">
        <v>1</v>
      </c>
      <c r="Q116" s="8" t="n">
        <f aca="false">SUM(M116:P116)</f>
        <v>2</v>
      </c>
      <c r="R116" s="8" t="str">
        <f aca="false">IF(Q116&gt;=3,"Yes","No")</f>
        <v>No</v>
      </c>
      <c r="S116" s="7" t="s">
        <v>915</v>
      </c>
      <c r="T116" s="7"/>
    </row>
    <row r="117" customFormat="false" ht="34.5" hidden="false" customHeight="true" outlineLevel="0" collapsed="false">
      <c r="A117" s="7" t="s">
        <v>916</v>
      </c>
      <c r="B117" s="7" t="s">
        <v>917</v>
      </c>
      <c r="C117" s="7" t="n">
        <v>2024</v>
      </c>
      <c r="D117" s="7" t="s">
        <v>918</v>
      </c>
      <c r="E117" s="7" t="s">
        <v>675</v>
      </c>
      <c r="F117" s="7" t="s">
        <v>919</v>
      </c>
      <c r="G117" s="7" t="s">
        <v>135</v>
      </c>
      <c r="H117" s="7" t="s">
        <v>228</v>
      </c>
      <c r="I117" s="7" t="s">
        <v>148</v>
      </c>
      <c r="J117" s="7" t="s">
        <v>920</v>
      </c>
      <c r="K117" s="7" t="s">
        <v>921</v>
      </c>
      <c r="L117" s="7" t="s">
        <v>239</v>
      </c>
      <c r="M117" s="7" t="n">
        <v>1</v>
      </c>
      <c r="N117" s="7" t="n">
        <v>1</v>
      </c>
      <c r="O117" s="7" t="n">
        <v>1</v>
      </c>
      <c r="P117" s="7" t="n">
        <v>1</v>
      </c>
      <c r="Q117" s="8" t="n">
        <f aca="false">SUM(M117:P117)</f>
        <v>4</v>
      </c>
      <c r="R117" s="8" t="str">
        <f aca="false">IF(Q117&gt;=3,"Yes","No")</f>
        <v>Yes</v>
      </c>
      <c r="S117" s="7" t="s">
        <v>922</v>
      </c>
      <c r="T117" s="7"/>
    </row>
    <row r="118" customFormat="false" ht="34.5" hidden="false" customHeight="true" outlineLevel="0" collapsed="false">
      <c r="A118" s="7" t="s">
        <v>923</v>
      </c>
      <c r="B118" s="7" t="s">
        <v>924</v>
      </c>
      <c r="C118" s="7" t="n">
        <v>2025</v>
      </c>
      <c r="D118" s="7" t="s">
        <v>925</v>
      </c>
      <c r="E118" s="7" t="s">
        <v>770</v>
      </c>
      <c r="F118" s="7" t="s">
        <v>926</v>
      </c>
      <c r="G118" s="7" t="s">
        <v>157</v>
      </c>
      <c r="H118" s="7" t="s">
        <v>193</v>
      </c>
      <c r="I118" s="7" t="s">
        <v>168</v>
      </c>
      <c r="J118" s="7" t="s">
        <v>927</v>
      </c>
      <c r="K118" s="7" t="s">
        <v>928</v>
      </c>
      <c r="L118" s="7" t="s">
        <v>239</v>
      </c>
      <c r="M118" s="7" t="n">
        <v>0</v>
      </c>
      <c r="N118" s="7" t="n">
        <v>1</v>
      </c>
      <c r="O118" s="7" t="n">
        <v>1</v>
      </c>
      <c r="P118" s="7" t="n">
        <v>1</v>
      </c>
      <c r="Q118" s="8" t="n">
        <f aca="false">SUM(M118:P118)</f>
        <v>3</v>
      </c>
      <c r="R118" s="8" t="str">
        <f aca="false">IF(Q118&gt;=3,"Yes","No")</f>
        <v>Yes</v>
      </c>
      <c r="S118" s="7" t="s">
        <v>929</v>
      </c>
      <c r="T118" s="7"/>
    </row>
    <row r="119" customFormat="false" ht="34.5" hidden="false" customHeight="true" outlineLevel="0" collapsed="false">
      <c r="A119" s="7" t="s">
        <v>930</v>
      </c>
      <c r="B119" s="7" t="s">
        <v>931</v>
      </c>
      <c r="C119" s="7" t="n">
        <v>2025</v>
      </c>
      <c r="D119" s="7" t="s">
        <v>932</v>
      </c>
      <c r="E119" s="7" t="s">
        <v>97</v>
      </c>
      <c r="F119" s="7" t="s">
        <v>933</v>
      </c>
      <c r="G119" s="7" t="s">
        <v>146</v>
      </c>
      <c r="H119" s="7" t="s">
        <v>468</v>
      </c>
      <c r="I119" s="7" t="s">
        <v>451</v>
      </c>
      <c r="J119" s="7"/>
      <c r="K119" s="7" t="s">
        <v>873</v>
      </c>
      <c r="L119" s="7"/>
      <c r="M119" s="7" t="n">
        <v>0</v>
      </c>
      <c r="N119" s="7" t="n">
        <v>1</v>
      </c>
      <c r="O119" s="7" t="n">
        <v>1</v>
      </c>
      <c r="P119" s="7" t="n">
        <v>1</v>
      </c>
      <c r="Q119" s="8" t="n">
        <f aca="false">SUM(M119:P119)</f>
        <v>3</v>
      </c>
      <c r="R119" s="8" t="str">
        <f aca="false">IF(Q119&gt;=3,"Yes","No")</f>
        <v>Yes</v>
      </c>
      <c r="S119" s="7" t="s">
        <v>934</v>
      </c>
      <c r="T119" s="7"/>
    </row>
    <row r="120" customFormat="false" ht="34.5" hidden="false" customHeight="true" outlineLevel="0" collapsed="false">
      <c r="A120" s="7" t="s">
        <v>935</v>
      </c>
      <c r="B120" s="7" t="s">
        <v>936</v>
      </c>
      <c r="C120" s="7" t="n">
        <v>2025</v>
      </c>
      <c r="D120" s="7" t="s">
        <v>937</v>
      </c>
      <c r="E120" s="7" t="s">
        <v>636</v>
      </c>
      <c r="F120" s="7" t="s">
        <v>938</v>
      </c>
      <c r="G120" s="7" t="s">
        <v>157</v>
      </c>
      <c r="H120" s="7" t="s">
        <v>228</v>
      </c>
      <c r="I120" s="7" t="s">
        <v>148</v>
      </c>
      <c r="J120" s="7" t="s">
        <v>939</v>
      </c>
      <c r="K120" s="7" t="s">
        <v>940</v>
      </c>
      <c r="L120" s="7"/>
      <c r="M120" s="7" t="n">
        <v>1</v>
      </c>
      <c r="N120" s="7" t="n">
        <v>1</v>
      </c>
      <c r="O120" s="7" t="n">
        <v>0</v>
      </c>
      <c r="P120" s="7" t="n">
        <v>1</v>
      </c>
      <c r="Q120" s="8" t="n">
        <f aca="false">SUM(M120:P120)</f>
        <v>3</v>
      </c>
      <c r="R120" s="8" t="str">
        <f aca="false">IF(Q120&gt;=3,"Yes","No")</f>
        <v>Yes</v>
      </c>
      <c r="S120" s="7" t="s">
        <v>941</v>
      </c>
      <c r="T120" s="7"/>
    </row>
    <row r="121" customFormat="false" ht="34.5" hidden="false" customHeight="true" outlineLevel="0" collapsed="false">
      <c r="A121" s="7" t="s">
        <v>942</v>
      </c>
      <c r="B121" s="7" t="s">
        <v>535</v>
      </c>
      <c r="C121" s="7" t="n">
        <v>2025</v>
      </c>
      <c r="D121" s="7" t="s">
        <v>943</v>
      </c>
      <c r="E121" s="7" t="s">
        <v>531</v>
      </c>
      <c r="F121" s="7" t="s">
        <v>944</v>
      </c>
      <c r="G121" s="7" t="s">
        <v>157</v>
      </c>
      <c r="H121" s="7" t="s">
        <v>228</v>
      </c>
      <c r="I121" s="7" t="s">
        <v>148</v>
      </c>
      <c r="J121" s="7" t="s">
        <v>945</v>
      </c>
      <c r="K121" s="7" t="s">
        <v>946</v>
      </c>
      <c r="L121" s="7" t="s">
        <v>281</v>
      </c>
      <c r="M121" s="7" t="n">
        <v>1</v>
      </c>
      <c r="N121" s="7" t="n">
        <v>0</v>
      </c>
      <c r="O121" s="7" t="n">
        <v>1</v>
      </c>
      <c r="P121" s="7" t="n">
        <v>1</v>
      </c>
      <c r="Q121" s="8" t="n">
        <f aca="false">SUM(M121:P121)</f>
        <v>3</v>
      </c>
      <c r="R121" s="8" t="str">
        <f aca="false">IF(Q121&gt;=3,"Yes","No")</f>
        <v>Yes</v>
      </c>
      <c r="S121" s="7" t="s">
        <v>947</v>
      </c>
      <c r="T121" s="7"/>
    </row>
    <row r="122" customFormat="false" ht="34.5" hidden="false" customHeight="true" outlineLevel="0" collapsed="false">
      <c r="A122" s="7" t="s">
        <v>948</v>
      </c>
      <c r="B122" s="7" t="s">
        <v>949</v>
      </c>
      <c r="C122" s="7" t="n">
        <v>2025</v>
      </c>
      <c r="D122" s="7" t="s">
        <v>950</v>
      </c>
      <c r="E122" s="7" t="s">
        <v>713</v>
      </c>
      <c r="F122" s="7" t="s">
        <v>951</v>
      </c>
      <c r="G122" s="7" t="s">
        <v>157</v>
      </c>
      <c r="H122" s="7" t="s">
        <v>401</v>
      </c>
      <c r="I122" s="7" t="s">
        <v>270</v>
      </c>
      <c r="J122" s="7"/>
      <c r="K122" s="7" t="s">
        <v>453</v>
      </c>
      <c r="L122" s="7"/>
      <c r="M122" s="7" t="n">
        <v>1</v>
      </c>
      <c r="N122" s="7" t="n">
        <v>0</v>
      </c>
      <c r="O122" s="7" t="n">
        <v>0</v>
      </c>
      <c r="P122" s="7" t="n">
        <v>1</v>
      </c>
      <c r="Q122" s="8" t="n">
        <f aca="false">SUM(M122:P122)</f>
        <v>2</v>
      </c>
      <c r="R122" s="8" t="str">
        <f aca="false">IF(Q122&gt;=3,"Yes","No")</f>
        <v>No</v>
      </c>
      <c r="S122" s="7" t="s">
        <v>952</v>
      </c>
      <c r="T122" s="7"/>
    </row>
    <row r="123" customFormat="false" ht="34.5" hidden="false" customHeight="true" outlineLevel="0" collapsed="false">
      <c r="A123" s="7" t="s">
        <v>953</v>
      </c>
      <c r="B123" s="7" t="s">
        <v>361</v>
      </c>
      <c r="C123" s="7" t="n">
        <v>2025</v>
      </c>
      <c r="D123" s="7" t="s">
        <v>954</v>
      </c>
      <c r="E123" s="7" t="s">
        <v>851</v>
      </c>
      <c r="F123" s="7" t="s">
        <v>955</v>
      </c>
      <c r="G123" s="7" t="s">
        <v>135</v>
      </c>
      <c r="H123" s="7" t="s">
        <v>228</v>
      </c>
      <c r="I123" s="7" t="s">
        <v>148</v>
      </c>
      <c r="J123" s="7" t="s">
        <v>956</v>
      </c>
      <c r="K123" s="7" t="s">
        <v>957</v>
      </c>
      <c r="L123" s="7"/>
      <c r="M123" s="7" t="n">
        <v>1</v>
      </c>
      <c r="N123" s="7" t="n">
        <v>1</v>
      </c>
      <c r="O123" s="7" t="n">
        <v>1</v>
      </c>
      <c r="P123" s="7" t="n">
        <v>1</v>
      </c>
      <c r="Q123" s="8" t="n">
        <f aca="false">SUM(M123:P123)</f>
        <v>4</v>
      </c>
      <c r="R123" s="8" t="str">
        <f aca="false">IF(Q123&gt;=3,"Yes","No")</f>
        <v>Yes</v>
      </c>
      <c r="S123" s="7" t="s">
        <v>958</v>
      </c>
      <c r="T123" s="7"/>
    </row>
    <row r="124" customFormat="false" ht="34.5" hidden="false" customHeight="true" outlineLevel="0" collapsed="false">
      <c r="A124" s="7" t="s">
        <v>959</v>
      </c>
      <c r="B124" s="7" t="s">
        <v>960</v>
      </c>
      <c r="C124" s="7" t="n">
        <v>2025</v>
      </c>
      <c r="D124" s="7" t="s">
        <v>961</v>
      </c>
      <c r="E124" s="7" t="s">
        <v>962</v>
      </c>
      <c r="F124" s="7" t="s">
        <v>963</v>
      </c>
      <c r="G124" s="7" t="s">
        <v>157</v>
      </c>
      <c r="H124" s="7" t="s">
        <v>308</v>
      </c>
      <c r="I124" s="7" t="s">
        <v>159</v>
      </c>
      <c r="J124" s="7"/>
      <c r="K124" s="7" t="s">
        <v>150</v>
      </c>
      <c r="L124" s="7"/>
      <c r="M124" s="7" t="n">
        <v>0</v>
      </c>
      <c r="N124" s="7" t="n">
        <v>0</v>
      </c>
      <c r="O124" s="7" t="n">
        <v>1</v>
      </c>
      <c r="P124" s="7" t="n">
        <v>1</v>
      </c>
      <c r="Q124" s="8" t="n">
        <f aca="false">SUM(M124:P124)</f>
        <v>2</v>
      </c>
      <c r="R124" s="8" t="str">
        <f aca="false">IF(Q124&gt;=3,"Yes","No")</f>
        <v>No</v>
      </c>
      <c r="S124" s="7" t="s">
        <v>964</v>
      </c>
      <c r="T124" s="7"/>
    </row>
    <row r="125" customFormat="false" ht="34.5" hidden="false" customHeight="true" outlineLevel="0" collapsed="false">
      <c r="A125" s="7" t="s">
        <v>965</v>
      </c>
      <c r="B125" s="7" t="s">
        <v>966</v>
      </c>
      <c r="C125" s="7" t="n">
        <v>2025</v>
      </c>
      <c r="D125" s="7" t="s">
        <v>967</v>
      </c>
      <c r="E125" s="7" t="s">
        <v>531</v>
      </c>
      <c r="F125" s="7" t="s">
        <v>968</v>
      </c>
      <c r="G125" s="7" t="s">
        <v>157</v>
      </c>
      <c r="H125" s="7" t="s">
        <v>228</v>
      </c>
      <c r="I125" s="7" t="s">
        <v>148</v>
      </c>
      <c r="J125" s="7" t="s">
        <v>969</v>
      </c>
      <c r="K125" s="7" t="s">
        <v>501</v>
      </c>
      <c r="L125" s="7"/>
      <c r="M125" s="7" t="n">
        <v>1</v>
      </c>
      <c r="N125" s="7" t="n">
        <v>0</v>
      </c>
      <c r="O125" s="7" t="n">
        <v>0</v>
      </c>
      <c r="P125" s="7" t="n">
        <v>1</v>
      </c>
      <c r="Q125" s="8" t="n">
        <f aca="false">SUM(M125:P125)</f>
        <v>2</v>
      </c>
      <c r="R125" s="8" t="str">
        <f aca="false">IF(Q125&gt;=3,"Yes","No")</f>
        <v>No</v>
      </c>
      <c r="S125" s="7" t="s">
        <v>970</v>
      </c>
      <c r="T125" s="7"/>
    </row>
    <row r="126" customFormat="false" ht="34.5" hidden="false" customHeight="true" outlineLevel="0" collapsed="false">
      <c r="A126" s="7" t="s">
        <v>971</v>
      </c>
      <c r="B126" s="7" t="s">
        <v>972</v>
      </c>
      <c r="C126" s="7" t="n">
        <v>2025</v>
      </c>
      <c r="D126" s="7" t="s">
        <v>973</v>
      </c>
      <c r="E126" s="7" t="s">
        <v>226</v>
      </c>
      <c r="F126" s="7" t="s">
        <v>974</v>
      </c>
      <c r="G126" s="7" t="s">
        <v>157</v>
      </c>
      <c r="H126" s="7" t="s">
        <v>336</v>
      </c>
      <c r="I126" s="7" t="s">
        <v>137</v>
      </c>
      <c r="J126" s="7" t="s">
        <v>975</v>
      </c>
      <c r="K126" s="7" t="s">
        <v>160</v>
      </c>
      <c r="L126" s="7"/>
      <c r="M126" s="7" t="n">
        <v>1</v>
      </c>
      <c r="N126" s="7" t="n">
        <v>0</v>
      </c>
      <c r="O126" s="7" t="n">
        <v>1</v>
      </c>
      <c r="P126" s="7" t="n">
        <v>1</v>
      </c>
      <c r="Q126" s="8" t="n">
        <f aca="false">SUM(M126:P126)</f>
        <v>3</v>
      </c>
      <c r="R126" s="8" t="str">
        <f aca="false">IF(Q126&gt;=3,"Yes","No")</f>
        <v>Yes</v>
      </c>
      <c r="S126" s="7" t="s">
        <v>976</v>
      </c>
      <c r="T126" s="7"/>
    </row>
    <row r="127" customFormat="false" ht="45.75" hidden="false" customHeight="true" outlineLevel="0" collapsed="false">
      <c r="A127" s="7" t="s">
        <v>977</v>
      </c>
      <c r="B127" s="7" t="s">
        <v>819</v>
      </c>
      <c r="C127" s="7" t="n">
        <v>2025</v>
      </c>
      <c r="D127" s="7" t="s">
        <v>978</v>
      </c>
      <c r="E127" s="7" t="s">
        <v>979</v>
      </c>
      <c r="F127" s="7" t="s">
        <v>980</v>
      </c>
      <c r="G127" s="7" t="s">
        <v>157</v>
      </c>
      <c r="H127" s="7" t="s">
        <v>822</v>
      </c>
      <c r="I127" s="7" t="s">
        <v>451</v>
      </c>
      <c r="J127" s="7" t="s">
        <v>981</v>
      </c>
      <c r="K127" s="7" t="s">
        <v>982</v>
      </c>
      <c r="L127" s="7" t="s">
        <v>281</v>
      </c>
      <c r="M127" s="7" t="n">
        <v>0</v>
      </c>
      <c r="N127" s="7" t="n">
        <v>0</v>
      </c>
      <c r="O127" s="7" t="n">
        <v>1</v>
      </c>
      <c r="P127" s="7" t="n">
        <v>1</v>
      </c>
      <c r="Q127" s="8" t="n">
        <f aca="false">SUM(M127:P127)</f>
        <v>2</v>
      </c>
      <c r="R127" s="8" t="str">
        <f aca="false">IF(Q127&gt;=3,"Yes","No")</f>
        <v>No</v>
      </c>
      <c r="S127" s="7" t="s">
        <v>983</v>
      </c>
      <c r="T127" s="7" t="s">
        <v>984</v>
      </c>
    </row>
    <row r="128" customFormat="false" ht="34.5" hidden="false" customHeight="true" outlineLevel="0" collapsed="false">
      <c r="A128" s="7" t="s">
        <v>985</v>
      </c>
      <c r="B128" s="7" t="s">
        <v>986</v>
      </c>
      <c r="C128" s="7" t="n">
        <v>2025</v>
      </c>
      <c r="D128" s="7" t="s">
        <v>987</v>
      </c>
      <c r="E128" s="7" t="s">
        <v>988</v>
      </c>
      <c r="F128" s="7" t="s">
        <v>989</v>
      </c>
      <c r="G128" s="7" t="s">
        <v>157</v>
      </c>
      <c r="H128" s="7" t="s">
        <v>450</v>
      </c>
      <c r="I128" s="7" t="s">
        <v>451</v>
      </c>
      <c r="J128" s="7"/>
      <c r="K128" s="7" t="s">
        <v>461</v>
      </c>
      <c r="L128" s="7"/>
      <c r="M128" s="7" t="n">
        <v>0</v>
      </c>
      <c r="N128" s="7" t="n">
        <v>1</v>
      </c>
      <c r="O128" s="7" t="n">
        <v>1</v>
      </c>
      <c r="P128" s="7" t="n">
        <v>1</v>
      </c>
      <c r="Q128" s="8" t="n">
        <f aca="false">SUM(M128:P128)</f>
        <v>3</v>
      </c>
      <c r="R128" s="8" t="str">
        <f aca="false">IF(Q128&gt;=3,"Yes","No")</f>
        <v>Yes</v>
      </c>
      <c r="S128" s="7" t="s">
        <v>990</v>
      </c>
      <c r="T128" s="7"/>
    </row>
    <row r="129" customFormat="false" ht="34.5" hidden="false" customHeight="true" outlineLevel="0" collapsed="false">
      <c r="A129" s="7" t="s">
        <v>991</v>
      </c>
      <c r="B129" s="7" t="s">
        <v>903</v>
      </c>
      <c r="C129" s="7" t="n">
        <v>2025</v>
      </c>
      <c r="D129" s="7" t="s">
        <v>992</v>
      </c>
      <c r="E129" s="7" t="s">
        <v>851</v>
      </c>
      <c r="F129" s="7" t="s">
        <v>993</v>
      </c>
      <c r="G129" s="7" t="s">
        <v>146</v>
      </c>
      <c r="H129" s="7" t="s">
        <v>228</v>
      </c>
      <c r="I129" s="7" t="s">
        <v>148</v>
      </c>
      <c r="J129" s="7"/>
      <c r="K129" s="7" t="s">
        <v>994</v>
      </c>
      <c r="L129" s="7" t="s">
        <v>239</v>
      </c>
      <c r="M129" s="7" t="n">
        <v>1</v>
      </c>
      <c r="N129" s="7" t="n">
        <v>1</v>
      </c>
      <c r="O129" s="7" t="n">
        <v>1</v>
      </c>
      <c r="P129" s="7" t="n">
        <v>1</v>
      </c>
      <c r="Q129" s="8" t="n">
        <f aca="false">SUM(M129:P129)</f>
        <v>4</v>
      </c>
      <c r="R129" s="8" t="str">
        <f aca="false">IF(Q129&gt;=3,"Yes","No")</f>
        <v>Yes</v>
      </c>
      <c r="S129" s="7" t="s">
        <v>995</v>
      </c>
      <c r="T129" s="7"/>
    </row>
    <row r="130" customFormat="false" ht="34.5" hidden="false" customHeight="true" outlineLevel="0" collapsed="false">
      <c r="A130" s="7" t="s">
        <v>996</v>
      </c>
      <c r="B130" s="7" t="s">
        <v>997</v>
      </c>
      <c r="C130" s="7" t="n">
        <v>2025</v>
      </c>
      <c r="D130" s="7" t="s">
        <v>998</v>
      </c>
      <c r="E130" s="7" t="s">
        <v>207</v>
      </c>
      <c r="F130" s="7" t="s">
        <v>999</v>
      </c>
      <c r="G130" s="7" t="s">
        <v>157</v>
      </c>
      <c r="H130" s="7" t="s">
        <v>228</v>
      </c>
      <c r="I130" s="7" t="s">
        <v>148</v>
      </c>
      <c r="J130" s="7" t="s">
        <v>1000</v>
      </c>
      <c r="K130" s="7" t="s">
        <v>461</v>
      </c>
      <c r="L130" s="7"/>
      <c r="M130" s="7" t="n">
        <v>1</v>
      </c>
      <c r="N130" s="7" t="n">
        <v>0</v>
      </c>
      <c r="O130" s="7" t="n">
        <v>1</v>
      </c>
      <c r="P130" s="7" t="n">
        <v>1</v>
      </c>
      <c r="Q130" s="8" t="n">
        <f aca="false">SUM(M130:P130)</f>
        <v>3</v>
      </c>
      <c r="R130" s="8" t="str">
        <f aca="false">IF(Q130&gt;=3,"Yes","No")</f>
        <v>Yes</v>
      </c>
      <c r="S130" s="7" t="s">
        <v>1001</v>
      </c>
      <c r="T130" s="7"/>
    </row>
    <row r="131" customFormat="false" ht="45.75" hidden="false" customHeight="true" outlineLevel="0" collapsed="false">
      <c r="A131" s="7" t="s">
        <v>1002</v>
      </c>
      <c r="B131" s="7" t="s">
        <v>1003</v>
      </c>
      <c r="C131" s="7" t="n">
        <v>2025</v>
      </c>
      <c r="D131" s="7" t="s">
        <v>1004</v>
      </c>
      <c r="E131" s="7" t="s">
        <v>531</v>
      </c>
      <c r="F131" s="7" t="s">
        <v>1005</v>
      </c>
      <c r="G131" s="7" t="s">
        <v>157</v>
      </c>
      <c r="H131" s="7" t="s">
        <v>228</v>
      </c>
      <c r="I131" s="7" t="s">
        <v>148</v>
      </c>
      <c r="J131" s="7" t="s">
        <v>1006</v>
      </c>
      <c r="K131" s="7" t="s">
        <v>1007</v>
      </c>
      <c r="L131" s="7" t="s">
        <v>239</v>
      </c>
      <c r="M131" s="7" t="n">
        <v>1</v>
      </c>
      <c r="N131" s="7" t="n">
        <v>0</v>
      </c>
      <c r="O131" s="7" t="n">
        <v>1</v>
      </c>
      <c r="P131" s="7" t="n">
        <v>1</v>
      </c>
      <c r="Q131" s="8" t="n">
        <f aca="false">SUM(M131:P131)</f>
        <v>3</v>
      </c>
      <c r="R131" s="8" t="str">
        <f aca="false">IF(Q131&gt;=3,"Yes","No")</f>
        <v>Yes</v>
      </c>
      <c r="S131" s="7" t="s">
        <v>1008</v>
      </c>
      <c r="T131" s="7"/>
    </row>
    <row r="132" customFormat="false" ht="34.5" hidden="false" customHeight="true" outlineLevel="0" collapsed="false">
      <c r="A132" s="7" t="s">
        <v>1009</v>
      </c>
      <c r="B132" s="7" t="s">
        <v>917</v>
      </c>
      <c r="C132" s="7" t="n">
        <v>2025</v>
      </c>
      <c r="D132" s="7" t="s">
        <v>1010</v>
      </c>
      <c r="E132" s="7" t="s">
        <v>235</v>
      </c>
      <c r="F132" s="7" t="s">
        <v>1011</v>
      </c>
      <c r="G132" s="7" t="s">
        <v>157</v>
      </c>
      <c r="H132" s="7" t="s">
        <v>228</v>
      </c>
      <c r="I132" s="7" t="s">
        <v>148</v>
      </c>
      <c r="J132" s="7" t="s">
        <v>1012</v>
      </c>
      <c r="K132" s="7" t="s">
        <v>1013</v>
      </c>
      <c r="L132" s="7" t="s">
        <v>239</v>
      </c>
      <c r="M132" s="7" t="n">
        <v>1</v>
      </c>
      <c r="N132" s="7" t="n">
        <v>0</v>
      </c>
      <c r="O132" s="7" t="n">
        <v>1</v>
      </c>
      <c r="P132" s="7" t="n">
        <v>1</v>
      </c>
      <c r="Q132" s="8" t="n">
        <f aca="false">SUM(M132:P132)</f>
        <v>3</v>
      </c>
      <c r="R132" s="8" t="str">
        <f aca="false">IF(Q132&gt;=3,"Yes","No")</f>
        <v>Yes</v>
      </c>
      <c r="S132" s="7" t="s">
        <v>1014</v>
      </c>
      <c r="T132" s="7"/>
    </row>
    <row r="133" customFormat="false" ht="34.5" hidden="false" customHeight="true" outlineLevel="0" collapsed="false">
      <c r="A133" s="7" t="s">
        <v>1015</v>
      </c>
      <c r="B133" s="7" t="s">
        <v>1016</v>
      </c>
      <c r="C133" s="7" t="n">
        <v>2026</v>
      </c>
      <c r="D133" s="7" t="s">
        <v>1017</v>
      </c>
      <c r="E133" s="7" t="s">
        <v>1018</v>
      </c>
      <c r="F133" s="7" t="s">
        <v>1019</v>
      </c>
      <c r="G133" s="7" t="s">
        <v>157</v>
      </c>
      <c r="H133" s="7" t="s">
        <v>372</v>
      </c>
      <c r="I133" s="7" t="s">
        <v>148</v>
      </c>
      <c r="J133" s="7" t="s">
        <v>1020</v>
      </c>
      <c r="K133" s="7" t="s">
        <v>907</v>
      </c>
      <c r="L133" s="7"/>
      <c r="M133" s="7" t="n">
        <v>1</v>
      </c>
      <c r="N133" s="7" t="n">
        <v>1</v>
      </c>
      <c r="O133" s="7" t="n">
        <v>1</v>
      </c>
      <c r="P133" s="7" t="n">
        <v>1</v>
      </c>
      <c r="Q133" s="8" t="n">
        <f aca="false">SUM(M133:P133)</f>
        <v>4</v>
      </c>
      <c r="R133" s="8" t="str">
        <f aca="false">IF(Q133&gt;=3,"Yes","No")</f>
        <v>Yes</v>
      </c>
      <c r="S133" s="7" t="s">
        <v>1021</v>
      </c>
      <c r="T133" s="7"/>
    </row>
    <row r="134" customFormat="false" ht="34.5" hidden="false" customHeight="true" outlineLevel="0" collapsed="false">
      <c r="A134" s="7" t="s">
        <v>1022</v>
      </c>
      <c r="B134" s="7" t="s">
        <v>1023</v>
      </c>
      <c r="C134" s="7" t="n">
        <v>2026</v>
      </c>
      <c r="D134" s="7" t="s">
        <v>1024</v>
      </c>
      <c r="E134" s="7" t="s">
        <v>1025</v>
      </c>
      <c r="F134" s="7" t="s">
        <v>1026</v>
      </c>
      <c r="G134" s="7" t="s">
        <v>157</v>
      </c>
      <c r="H134" s="7" t="s">
        <v>1027</v>
      </c>
      <c r="I134" s="7" t="s">
        <v>159</v>
      </c>
      <c r="J134" s="7"/>
      <c r="K134" s="7" t="s">
        <v>150</v>
      </c>
      <c r="L134" s="7"/>
      <c r="M134" s="7" t="n">
        <v>0</v>
      </c>
      <c r="N134" s="7" t="n">
        <v>1</v>
      </c>
      <c r="O134" s="7" t="n">
        <v>1</v>
      </c>
      <c r="P134" s="7" t="n">
        <v>0</v>
      </c>
      <c r="Q134" s="8" t="n">
        <f aca="false">SUM(M134:P134)</f>
        <v>2</v>
      </c>
      <c r="R134" s="8" t="str">
        <f aca="false">IF(Q134&gt;=3,"Yes","No")</f>
        <v>No</v>
      </c>
      <c r="S134" s="7" t="s">
        <v>1028</v>
      </c>
      <c r="T134" s="7"/>
    </row>
    <row r="135" customFormat="false" ht="34.5" hidden="false" customHeight="true" outlineLevel="0" collapsed="false">
      <c r="A135" s="7" t="s">
        <v>1029</v>
      </c>
      <c r="B135" s="7" t="s">
        <v>1030</v>
      </c>
      <c r="C135" s="7" t="n">
        <v>2026</v>
      </c>
      <c r="D135" s="7" t="s">
        <v>1031</v>
      </c>
      <c r="E135" s="7" t="s">
        <v>306</v>
      </c>
      <c r="F135" s="7" t="s">
        <v>1032</v>
      </c>
      <c r="G135" s="7" t="s">
        <v>157</v>
      </c>
      <c r="H135" s="7" t="s">
        <v>795</v>
      </c>
      <c r="I135" s="7" t="s">
        <v>168</v>
      </c>
      <c r="J135" s="7" t="s">
        <v>1033</v>
      </c>
      <c r="K135" s="7" t="s">
        <v>1034</v>
      </c>
      <c r="L135" s="7"/>
      <c r="M135" s="7" t="n">
        <v>0</v>
      </c>
      <c r="N135" s="7" t="n">
        <v>0</v>
      </c>
      <c r="O135" s="7" t="n">
        <v>0</v>
      </c>
      <c r="P135" s="7" t="n">
        <v>1</v>
      </c>
      <c r="Q135" s="8" t="n">
        <f aca="false">SUM(M135:P135)</f>
        <v>1</v>
      </c>
      <c r="R135" s="8" t="str">
        <f aca="false">IF(Q135&gt;=3,"Yes","No")</f>
        <v>No</v>
      </c>
      <c r="S135" s="7" t="s">
        <v>1035</v>
      </c>
      <c r="T135" s="7"/>
    </row>
    <row r="136" customFormat="false" ht="34.5" hidden="false" customHeight="true" outlineLevel="0" collapsed="false">
      <c r="A136" s="7" t="s">
        <v>1036</v>
      </c>
      <c r="B136" s="7" t="s">
        <v>1037</v>
      </c>
      <c r="C136" s="7" t="n">
        <v>2026</v>
      </c>
      <c r="D136" s="7" t="s">
        <v>1038</v>
      </c>
      <c r="E136" s="7" t="s">
        <v>356</v>
      </c>
      <c r="F136" s="7" t="s">
        <v>1039</v>
      </c>
      <c r="G136" s="7" t="s">
        <v>1040</v>
      </c>
      <c r="H136" s="7" t="s">
        <v>201</v>
      </c>
      <c r="I136" s="7" t="s">
        <v>159</v>
      </c>
      <c r="J136" s="7" t="s">
        <v>229</v>
      </c>
      <c r="K136" s="7" t="s">
        <v>202</v>
      </c>
      <c r="L136" s="7"/>
      <c r="M136" s="7" t="n">
        <v>1</v>
      </c>
      <c r="N136" s="7" t="n">
        <v>1</v>
      </c>
      <c r="O136" s="7" t="n">
        <v>0</v>
      </c>
      <c r="P136" s="7" t="n">
        <v>1</v>
      </c>
      <c r="Q136" s="8" t="n">
        <f aca="false">SUM(M136:P136)</f>
        <v>3</v>
      </c>
      <c r="R136" s="8" t="str">
        <f aca="false">IF(Q136&gt;=3,"Yes","No")</f>
        <v>Yes</v>
      </c>
      <c r="S136" s="7" t="s">
        <v>1041</v>
      </c>
      <c r="T136" s="7"/>
    </row>
    <row r="137" customFormat="false" ht="34.5" hidden="false" customHeight="true" outlineLevel="0" collapsed="false">
      <c r="A137" s="7" t="s">
        <v>1042</v>
      </c>
      <c r="B137" s="7" t="s">
        <v>910</v>
      </c>
      <c r="C137" s="7" t="n">
        <v>2026</v>
      </c>
      <c r="D137" s="7" t="s">
        <v>1043</v>
      </c>
      <c r="E137" s="7" t="s">
        <v>1044</v>
      </c>
      <c r="F137" s="7" t="s">
        <v>1045</v>
      </c>
      <c r="G137" s="7" t="s">
        <v>135</v>
      </c>
      <c r="H137" s="7" t="s">
        <v>228</v>
      </c>
      <c r="I137" s="7" t="s">
        <v>148</v>
      </c>
      <c r="J137" s="7" t="s">
        <v>1046</v>
      </c>
      <c r="K137" s="7" t="s">
        <v>907</v>
      </c>
      <c r="L137" s="7"/>
      <c r="M137" s="7" t="n">
        <v>1</v>
      </c>
      <c r="N137" s="7" t="n">
        <v>0</v>
      </c>
      <c r="O137" s="7" t="n">
        <v>1</v>
      </c>
      <c r="P137" s="7" t="n">
        <v>1</v>
      </c>
      <c r="Q137" s="8" t="n">
        <f aca="false">SUM(M137:P137)</f>
        <v>3</v>
      </c>
      <c r="R137" s="8" t="str">
        <f aca="false">IF(Q137&gt;=3,"Yes","No")</f>
        <v>Yes</v>
      </c>
      <c r="S137" s="7" t="s">
        <v>1047</v>
      </c>
      <c r="T137"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7"/>
    <col collapsed="false" customWidth="true" hidden="false" outlineLevel="0" max="4" min="4" style="1" width="55"/>
    <col collapsed="false" customWidth="true" hidden="false" outlineLevel="0" max="5" min="5" style="1" width="32"/>
    <col collapsed="false" customWidth="true" hidden="false" outlineLevel="0" max="6" min="6" style="1" width="30"/>
    <col collapsed="false" customWidth="true" hidden="false" outlineLevel="0" max="7" min="7" style="1" width="34"/>
    <col collapsed="false" customWidth="true" hidden="false" outlineLevel="0" max="8" min="8" style="1" width="55"/>
  </cols>
  <sheetData>
    <row r="1" customFormat="false" ht="15" hidden="false" customHeight="true" outlineLevel="0" collapsed="false">
      <c r="A1" s="2" t="s">
        <v>1048</v>
      </c>
    </row>
    <row r="2" customFormat="false" ht="15" hidden="false" customHeight="true" outlineLevel="0" collapsed="false">
      <c r="A2" s="5" t="s">
        <v>1049</v>
      </c>
    </row>
    <row r="4" customFormat="false" ht="15" hidden="false" customHeight="true" outlineLevel="0" collapsed="false">
      <c r="A4" s="6" t="s">
        <v>34</v>
      </c>
      <c r="B4" s="6" t="s">
        <v>35</v>
      </c>
      <c r="C4" s="6" t="s">
        <v>36</v>
      </c>
      <c r="D4" s="6" t="s">
        <v>37</v>
      </c>
      <c r="E4" s="6" t="s">
        <v>38</v>
      </c>
      <c r="F4" s="6" t="s">
        <v>39</v>
      </c>
      <c r="G4" s="6" t="s">
        <v>1050</v>
      </c>
      <c r="H4" s="6" t="s">
        <v>1051</v>
      </c>
    </row>
    <row r="5" customFormat="false" ht="23.25" hidden="false" customHeight="true" outlineLevel="0" collapsed="false">
      <c r="A5" s="7" t="s">
        <v>1052</v>
      </c>
      <c r="B5" s="7" t="s">
        <v>1053</v>
      </c>
      <c r="C5" s="7" t="n">
        <v>2011</v>
      </c>
      <c r="D5" s="7" t="s">
        <v>1054</v>
      </c>
      <c r="E5" s="7" t="s">
        <v>1055</v>
      </c>
      <c r="F5" s="7" t="s">
        <v>1056</v>
      </c>
      <c r="G5" s="7" t="s">
        <v>1057</v>
      </c>
      <c r="H5" s="7" t="s">
        <v>1058</v>
      </c>
    </row>
    <row r="6" customFormat="false" ht="15" hidden="false" customHeight="true" outlineLevel="0" collapsed="false">
      <c r="A6" s="7" t="s">
        <v>1059</v>
      </c>
      <c r="B6" s="7" t="s">
        <v>1060</v>
      </c>
      <c r="C6" s="7" t="n">
        <v>2023</v>
      </c>
      <c r="D6" s="7" t="s">
        <v>1061</v>
      </c>
      <c r="E6" s="7" t="s">
        <v>1062</v>
      </c>
      <c r="F6" s="7" t="s">
        <v>1063</v>
      </c>
      <c r="G6" s="7" t="s">
        <v>1057</v>
      </c>
      <c r="H6" s="7" t="s">
        <v>1064</v>
      </c>
    </row>
    <row r="7" customFormat="false" ht="34.5" hidden="false" customHeight="true" outlineLevel="0" collapsed="false">
      <c r="A7" s="7" t="s">
        <v>1065</v>
      </c>
      <c r="B7" s="7" t="s">
        <v>1066</v>
      </c>
      <c r="C7" s="7" t="n">
        <v>2025</v>
      </c>
      <c r="D7" s="7" t="s">
        <v>1067</v>
      </c>
      <c r="E7" s="7" t="s">
        <v>1062</v>
      </c>
      <c r="F7" s="7" t="s">
        <v>1068</v>
      </c>
      <c r="G7" s="7" t="s">
        <v>1057</v>
      </c>
      <c r="H7" s="7" t="s">
        <v>1064</v>
      </c>
    </row>
    <row r="8" customFormat="false" ht="34.5" hidden="false" customHeight="true" outlineLevel="0" collapsed="false">
      <c r="A8" s="7" t="s">
        <v>1069</v>
      </c>
      <c r="B8" s="7" t="s">
        <v>1070</v>
      </c>
      <c r="C8" s="7" t="n">
        <v>2011</v>
      </c>
      <c r="D8" s="7" t="s">
        <v>1071</v>
      </c>
      <c r="E8" s="7" t="s">
        <v>706</v>
      </c>
      <c r="F8" s="7" t="s">
        <v>1072</v>
      </c>
      <c r="G8" s="7" t="s">
        <v>1073</v>
      </c>
      <c r="H8" s="7" t="s">
        <v>1073</v>
      </c>
    </row>
    <row r="9" customFormat="false" ht="23.25" hidden="false" customHeight="true" outlineLevel="0" collapsed="false">
      <c r="A9" s="7" t="s">
        <v>1074</v>
      </c>
      <c r="B9" s="7" t="s">
        <v>224</v>
      </c>
      <c r="C9" s="7" t="n">
        <v>2016</v>
      </c>
      <c r="D9" s="7" t="s">
        <v>1075</v>
      </c>
      <c r="E9" s="7" t="s">
        <v>675</v>
      </c>
      <c r="F9" s="7" t="s">
        <v>1076</v>
      </c>
      <c r="G9" s="7" t="s">
        <v>1073</v>
      </c>
      <c r="H9" s="7" t="s">
        <v>1073</v>
      </c>
    </row>
    <row r="10" customFormat="false" ht="23.25" hidden="false" customHeight="true" outlineLevel="0" collapsed="false">
      <c r="A10" s="7" t="s">
        <v>1077</v>
      </c>
      <c r="B10" s="7" t="s">
        <v>819</v>
      </c>
      <c r="C10" s="7" t="n">
        <v>2022</v>
      </c>
      <c r="D10" s="7" t="s">
        <v>1078</v>
      </c>
      <c r="E10" s="7" t="s">
        <v>899</v>
      </c>
      <c r="F10" s="7" t="s">
        <v>1079</v>
      </c>
      <c r="G10" s="7" t="s">
        <v>1073</v>
      </c>
      <c r="H10" s="7" t="s">
        <v>1073</v>
      </c>
    </row>
    <row r="11" customFormat="false" ht="34.5" hidden="false" customHeight="true" outlineLevel="0" collapsed="false">
      <c r="A11" s="7" t="s">
        <v>1080</v>
      </c>
      <c r="B11" s="7" t="s">
        <v>1081</v>
      </c>
      <c r="C11" s="7" t="n">
        <v>2024</v>
      </c>
      <c r="D11" s="7" t="s">
        <v>1082</v>
      </c>
      <c r="E11" s="7" t="s">
        <v>675</v>
      </c>
      <c r="F11" s="7" t="s">
        <v>1083</v>
      </c>
      <c r="G11" s="7" t="s">
        <v>1073</v>
      </c>
      <c r="H11" s="7" t="s">
        <v>1084</v>
      </c>
    </row>
    <row r="12" customFormat="false" ht="34.5" hidden="false" customHeight="true" outlineLevel="0" collapsed="false">
      <c r="A12" s="7" t="s">
        <v>1085</v>
      </c>
      <c r="B12" s="7" t="s">
        <v>333</v>
      </c>
      <c r="C12" s="7" t="n">
        <v>2024</v>
      </c>
      <c r="D12" s="7" t="s">
        <v>1086</v>
      </c>
      <c r="E12" s="7" t="s">
        <v>693</v>
      </c>
      <c r="F12" s="7" t="s">
        <v>1087</v>
      </c>
      <c r="G12" s="7" t="s">
        <v>1073</v>
      </c>
      <c r="H12" s="7" t="s">
        <v>1073</v>
      </c>
    </row>
    <row r="13" customFormat="false" ht="23.25" hidden="false" customHeight="true" outlineLevel="0" collapsed="false">
      <c r="A13" s="7" t="s">
        <v>1088</v>
      </c>
      <c r="B13" s="7" t="s">
        <v>1089</v>
      </c>
      <c r="C13" s="7" t="n">
        <v>2025</v>
      </c>
      <c r="D13" s="7" t="s">
        <v>1090</v>
      </c>
      <c r="E13" s="7" t="s">
        <v>1091</v>
      </c>
      <c r="F13" s="7" t="s">
        <v>1092</v>
      </c>
      <c r="G13" s="7" t="s">
        <v>1073</v>
      </c>
      <c r="H13" s="7" t="s">
        <v>1073</v>
      </c>
    </row>
    <row r="14" customFormat="false" ht="23.25" hidden="false" customHeight="true" outlineLevel="0" collapsed="false">
      <c r="A14" s="7" t="s">
        <v>1093</v>
      </c>
      <c r="B14" s="7" t="s">
        <v>1094</v>
      </c>
      <c r="C14" s="7" t="n">
        <v>2011</v>
      </c>
      <c r="D14" s="7" t="s">
        <v>1095</v>
      </c>
      <c r="E14" s="7" t="s">
        <v>884</v>
      </c>
      <c r="F14" s="7" t="s">
        <v>1096</v>
      </c>
      <c r="G14" s="7" t="s">
        <v>1097</v>
      </c>
      <c r="H14" s="7" t="s">
        <v>1098</v>
      </c>
    </row>
    <row r="15" customFormat="false" ht="34.5" hidden="false" customHeight="true" outlineLevel="0" collapsed="false">
      <c r="A15" s="7" t="s">
        <v>1099</v>
      </c>
      <c r="B15" s="7" t="s">
        <v>1100</v>
      </c>
      <c r="C15" s="7" t="n">
        <v>2012</v>
      </c>
      <c r="D15" s="7" t="s">
        <v>1101</v>
      </c>
      <c r="E15" s="7" t="s">
        <v>144</v>
      </c>
      <c r="F15" s="7" t="s">
        <v>1102</v>
      </c>
      <c r="G15" s="7" t="s">
        <v>1097</v>
      </c>
      <c r="H15" s="7" t="s">
        <v>1103</v>
      </c>
    </row>
    <row r="16" customFormat="false" ht="23.25" hidden="false" customHeight="true" outlineLevel="0" collapsed="false">
      <c r="A16" s="7" t="s">
        <v>1104</v>
      </c>
      <c r="B16" s="7" t="s">
        <v>1105</v>
      </c>
      <c r="C16" s="7" t="n">
        <v>2015</v>
      </c>
      <c r="D16" s="7" t="s">
        <v>1106</v>
      </c>
      <c r="E16" s="7" t="s">
        <v>97</v>
      </c>
      <c r="F16" s="7" t="s">
        <v>1107</v>
      </c>
      <c r="G16" s="7" t="s">
        <v>1097</v>
      </c>
      <c r="H16" s="7" t="s">
        <v>1108</v>
      </c>
    </row>
    <row r="17" customFormat="false" ht="34.5" hidden="false" customHeight="true" outlineLevel="0" collapsed="false">
      <c r="A17" s="7" t="s">
        <v>1109</v>
      </c>
      <c r="B17" s="7" t="s">
        <v>1110</v>
      </c>
      <c r="C17" s="7" t="n">
        <v>2015</v>
      </c>
      <c r="D17" s="7" t="s">
        <v>1111</v>
      </c>
      <c r="E17" s="7" t="s">
        <v>1112</v>
      </c>
      <c r="F17" s="7" t="s">
        <v>1113</v>
      </c>
      <c r="G17" s="7" t="s">
        <v>1097</v>
      </c>
      <c r="H17" s="7" t="s">
        <v>1114</v>
      </c>
    </row>
    <row r="18" customFormat="false" ht="34.5" hidden="false" customHeight="true" outlineLevel="0" collapsed="false">
      <c r="A18" s="7" t="s">
        <v>1115</v>
      </c>
      <c r="B18" s="7" t="s">
        <v>1116</v>
      </c>
      <c r="C18" s="7" t="n">
        <v>2021</v>
      </c>
      <c r="D18" s="7" t="s">
        <v>1117</v>
      </c>
      <c r="E18" s="7" t="s">
        <v>1118</v>
      </c>
      <c r="F18" s="7" t="s">
        <v>1119</v>
      </c>
      <c r="G18" s="7" t="s">
        <v>1097</v>
      </c>
      <c r="H18" s="7" t="s">
        <v>1120</v>
      </c>
    </row>
    <row r="19" customFormat="false" ht="34.5" hidden="false" customHeight="true" outlineLevel="0" collapsed="false">
      <c r="A19" s="7" t="s">
        <v>1121</v>
      </c>
      <c r="B19" s="7" t="s">
        <v>1122</v>
      </c>
      <c r="C19" s="7" t="n">
        <v>2022</v>
      </c>
      <c r="D19" s="7" t="s">
        <v>1123</v>
      </c>
      <c r="E19" s="7" t="s">
        <v>531</v>
      </c>
      <c r="F19" s="7" t="s">
        <v>1124</v>
      </c>
      <c r="G19" s="7" t="s">
        <v>1097</v>
      </c>
      <c r="H19" s="7" t="s">
        <v>1125</v>
      </c>
    </row>
    <row r="20" customFormat="false" ht="34.5" hidden="false" customHeight="true" outlineLevel="0" collapsed="false">
      <c r="A20" s="7" t="s">
        <v>1126</v>
      </c>
      <c r="B20" s="7" t="s">
        <v>1127</v>
      </c>
      <c r="C20" s="7" t="n">
        <v>2025</v>
      </c>
      <c r="D20" s="7" t="s">
        <v>1128</v>
      </c>
      <c r="E20" s="7" t="s">
        <v>1129</v>
      </c>
      <c r="F20" s="7" t="s">
        <v>1130</v>
      </c>
      <c r="G20" s="7" t="s">
        <v>1097</v>
      </c>
      <c r="H20" s="7" t="s">
        <v>1131</v>
      </c>
    </row>
    <row r="21" customFormat="false" ht="34.5" hidden="false" customHeight="true" outlineLevel="0" collapsed="false">
      <c r="A21" s="7" t="s">
        <v>1132</v>
      </c>
      <c r="B21" s="7" t="s">
        <v>1133</v>
      </c>
      <c r="C21" s="7" t="n">
        <v>2026</v>
      </c>
      <c r="D21" s="7" t="s">
        <v>1134</v>
      </c>
      <c r="E21" s="7" t="s">
        <v>1135</v>
      </c>
      <c r="F21" s="7" t="s">
        <v>1136</v>
      </c>
      <c r="G21" s="7" t="s">
        <v>1097</v>
      </c>
      <c r="H21" s="7" t="s">
        <v>1137</v>
      </c>
    </row>
    <row r="22" customFormat="false" ht="34.5" hidden="false" customHeight="true" outlineLevel="0" collapsed="false">
      <c r="A22" s="7" t="s">
        <v>1138</v>
      </c>
      <c r="B22" s="7" t="s">
        <v>1139</v>
      </c>
      <c r="C22" s="7" t="n">
        <v>2026</v>
      </c>
      <c r="D22" s="7" t="s">
        <v>1140</v>
      </c>
      <c r="E22" s="7" t="s">
        <v>1141</v>
      </c>
      <c r="F22" s="7" t="s">
        <v>1142</v>
      </c>
      <c r="G22" s="7" t="s">
        <v>1097</v>
      </c>
      <c r="H22" s="7" t="s">
        <v>1143</v>
      </c>
    </row>
    <row r="23" customFormat="false" ht="23.25" hidden="false" customHeight="true" outlineLevel="0" collapsed="false">
      <c r="A23" s="7" t="s">
        <v>1144</v>
      </c>
      <c r="B23" s="7" t="s">
        <v>1145</v>
      </c>
      <c r="C23" s="7" t="n">
        <v>2012</v>
      </c>
      <c r="D23" s="7" t="s">
        <v>1146</v>
      </c>
      <c r="E23" s="7" t="s">
        <v>97</v>
      </c>
      <c r="F23" s="7" t="s">
        <v>1147</v>
      </c>
      <c r="G23" s="7" t="s">
        <v>1148</v>
      </c>
      <c r="H23" s="7" t="s">
        <v>1149</v>
      </c>
    </row>
    <row r="24" customFormat="false" ht="34.5" hidden="false" customHeight="true" outlineLevel="0" collapsed="false">
      <c r="A24" s="7" t="s">
        <v>1150</v>
      </c>
      <c r="B24" s="7" t="s">
        <v>1151</v>
      </c>
      <c r="C24" s="7" t="n">
        <v>2017</v>
      </c>
      <c r="D24" s="7" t="s">
        <v>1152</v>
      </c>
      <c r="E24" s="7" t="s">
        <v>1153</v>
      </c>
      <c r="F24" s="7" t="s">
        <v>1154</v>
      </c>
      <c r="G24" s="7" t="s">
        <v>1148</v>
      </c>
      <c r="H24" s="7" t="s">
        <v>1155</v>
      </c>
    </row>
    <row r="25" customFormat="false" ht="23.25" hidden="false" customHeight="true" outlineLevel="0" collapsed="false">
      <c r="A25" s="7" t="s">
        <v>1156</v>
      </c>
      <c r="B25" s="7" t="s">
        <v>1157</v>
      </c>
      <c r="C25" s="7" t="n">
        <v>2019</v>
      </c>
      <c r="D25" s="7" t="s">
        <v>1158</v>
      </c>
      <c r="E25" s="7" t="s">
        <v>1159</v>
      </c>
      <c r="F25" s="7" t="s">
        <v>1160</v>
      </c>
      <c r="G25" s="7" t="s">
        <v>1148</v>
      </c>
      <c r="H25" s="7" t="s">
        <v>1161</v>
      </c>
    </row>
    <row r="26" customFormat="false" ht="45.75" hidden="false" customHeight="true" outlineLevel="0" collapsed="false">
      <c r="A26" s="7" t="s">
        <v>1162</v>
      </c>
      <c r="B26" s="7" t="s">
        <v>1163</v>
      </c>
      <c r="C26" s="7" t="n">
        <v>2019</v>
      </c>
      <c r="D26" s="7" t="s">
        <v>1164</v>
      </c>
      <c r="E26" s="7" t="s">
        <v>1165</v>
      </c>
      <c r="F26" s="7" t="s">
        <v>1166</v>
      </c>
      <c r="G26" s="7" t="s">
        <v>1148</v>
      </c>
      <c r="H26" s="7" t="s">
        <v>1167</v>
      </c>
    </row>
    <row r="27" customFormat="false" ht="34.5" hidden="false" customHeight="true" outlineLevel="0" collapsed="false">
      <c r="A27" s="7" t="s">
        <v>1168</v>
      </c>
      <c r="B27" s="7" t="s">
        <v>903</v>
      </c>
      <c r="C27" s="7" t="n">
        <v>2020</v>
      </c>
      <c r="D27" s="7" t="s">
        <v>1169</v>
      </c>
      <c r="E27" s="7" t="s">
        <v>675</v>
      </c>
      <c r="F27" s="7" t="s">
        <v>1170</v>
      </c>
      <c r="G27" s="7" t="s">
        <v>1148</v>
      </c>
      <c r="H27" s="7" t="s">
        <v>1171</v>
      </c>
    </row>
    <row r="28" customFormat="false" ht="23.25" hidden="false" customHeight="true" outlineLevel="0" collapsed="false">
      <c r="A28" s="7" t="s">
        <v>1172</v>
      </c>
      <c r="B28" s="7" t="s">
        <v>1173</v>
      </c>
      <c r="C28" s="7" t="n">
        <v>2023</v>
      </c>
      <c r="D28" s="7" t="s">
        <v>1174</v>
      </c>
      <c r="E28" s="7" t="s">
        <v>226</v>
      </c>
      <c r="F28" s="7" t="s">
        <v>1175</v>
      </c>
      <c r="G28" s="7" t="s">
        <v>1148</v>
      </c>
      <c r="H28" s="7" t="s">
        <v>1176</v>
      </c>
    </row>
    <row r="29" customFormat="false" ht="34.5" hidden="false" customHeight="true" outlineLevel="0" collapsed="false">
      <c r="A29" s="7" t="s">
        <v>1177</v>
      </c>
      <c r="B29" s="7" t="s">
        <v>1178</v>
      </c>
      <c r="C29" s="7" t="n">
        <v>2023</v>
      </c>
      <c r="D29" s="7" t="s">
        <v>1179</v>
      </c>
      <c r="E29" s="7" t="s">
        <v>1018</v>
      </c>
      <c r="F29" s="7" t="s">
        <v>1180</v>
      </c>
      <c r="G29" s="7" t="s">
        <v>1148</v>
      </c>
      <c r="H29" s="7" t="s">
        <v>1181</v>
      </c>
    </row>
    <row r="30" customFormat="false" ht="23.25" hidden="false" customHeight="true" outlineLevel="0" collapsed="false">
      <c r="A30" s="7" t="s">
        <v>1182</v>
      </c>
      <c r="B30" s="7" t="s">
        <v>1183</v>
      </c>
      <c r="C30" s="7" t="n">
        <v>2011</v>
      </c>
      <c r="D30" s="7" t="s">
        <v>1184</v>
      </c>
      <c r="E30" s="7" t="s">
        <v>675</v>
      </c>
      <c r="F30" s="7" t="s">
        <v>1185</v>
      </c>
      <c r="G30" s="7" t="s">
        <v>1186</v>
      </c>
      <c r="H30" s="7" t="s">
        <v>1187</v>
      </c>
    </row>
    <row r="31" customFormat="false" ht="23.25" hidden="false" customHeight="true" outlineLevel="0" collapsed="false">
      <c r="A31" s="7" t="s">
        <v>1188</v>
      </c>
      <c r="B31" s="7" t="s">
        <v>1189</v>
      </c>
      <c r="C31" s="7" t="n">
        <v>2015</v>
      </c>
      <c r="D31" s="7" t="s">
        <v>1190</v>
      </c>
      <c r="E31" s="7" t="s">
        <v>207</v>
      </c>
      <c r="F31" s="7" t="s">
        <v>1191</v>
      </c>
      <c r="G31" s="7" t="s">
        <v>1186</v>
      </c>
      <c r="H31" s="7" t="s">
        <v>1192</v>
      </c>
    </row>
    <row r="32" customFormat="false" ht="23.25" hidden="false" customHeight="true" outlineLevel="0" collapsed="false">
      <c r="A32" s="7" t="s">
        <v>1193</v>
      </c>
      <c r="B32" s="7" t="s">
        <v>1194</v>
      </c>
      <c r="C32" s="7" t="n">
        <v>2016</v>
      </c>
      <c r="D32" s="7" t="s">
        <v>1195</v>
      </c>
      <c r="E32" s="7" t="s">
        <v>207</v>
      </c>
      <c r="F32" s="7" t="s">
        <v>1196</v>
      </c>
      <c r="G32" s="7" t="s">
        <v>1186</v>
      </c>
      <c r="H32" s="7" t="s">
        <v>1197</v>
      </c>
    </row>
    <row r="33" customFormat="false" ht="23.25" hidden="false" customHeight="true" outlineLevel="0" collapsed="false">
      <c r="A33" s="7" t="s">
        <v>1198</v>
      </c>
      <c r="B33" s="7" t="s">
        <v>1199</v>
      </c>
      <c r="C33" s="7" t="n">
        <v>2018</v>
      </c>
      <c r="D33" s="7" t="s">
        <v>1200</v>
      </c>
      <c r="E33" s="7" t="s">
        <v>226</v>
      </c>
      <c r="F33" s="7" t="s">
        <v>1201</v>
      </c>
      <c r="G33" s="7" t="s">
        <v>1186</v>
      </c>
      <c r="H33" s="7" t="s">
        <v>1202</v>
      </c>
    </row>
    <row r="34" customFormat="false" ht="34.5" hidden="false" customHeight="true" outlineLevel="0" collapsed="false">
      <c r="A34" s="7" t="s">
        <v>1203</v>
      </c>
      <c r="B34" s="7" t="s">
        <v>1204</v>
      </c>
      <c r="C34" s="7" t="n">
        <v>2018</v>
      </c>
      <c r="D34" s="7" t="s">
        <v>1205</v>
      </c>
      <c r="E34" s="7" t="s">
        <v>675</v>
      </c>
      <c r="F34" s="7" t="s">
        <v>1206</v>
      </c>
      <c r="G34" s="7" t="s">
        <v>1186</v>
      </c>
      <c r="H34" s="7" t="s">
        <v>1207</v>
      </c>
    </row>
    <row r="35" customFormat="false" ht="23.25" hidden="false" customHeight="true" outlineLevel="0" collapsed="false">
      <c r="A35" s="7" t="s">
        <v>1208</v>
      </c>
      <c r="B35" s="7" t="s">
        <v>1209</v>
      </c>
      <c r="C35" s="7" t="n">
        <v>2019</v>
      </c>
      <c r="D35" s="7" t="s">
        <v>1210</v>
      </c>
      <c r="E35" s="7" t="s">
        <v>1211</v>
      </c>
      <c r="F35" s="7" t="s">
        <v>1212</v>
      </c>
      <c r="G35" s="7" t="s">
        <v>1186</v>
      </c>
      <c r="H35" s="7" t="s">
        <v>1213</v>
      </c>
    </row>
    <row r="36" customFormat="false" ht="23.25" hidden="false" customHeight="true" outlineLevel="0" collapsed="false">
      <c r="A36" s="7" t="s">
        <v>1214</v>
      </c>
      <c r="B36" s="7" t="s">
        <v>1215</v>
      </c>
      <c r="C36" s="7" t="n">
        <v>2022</v>
      </c>
      <c r="D36" s="7" t="s">
        <v>1216</v>
      </c>
      <c r="E36" s="7" t="s">
        <v>851</v>
      </c>
      <c r="F36" s="7" t="s">
        <v>1217</v>
      </c>
      <c r="G36" s="7" t="s">
        <v>1186</v>
      </c>
      <c r="H36" s="7" t="s">
        <v>1218</v>
      </c>
    </row>
    <row r="37" customFormat="false" ht="23.25" hidden="false" customHeight="true" outlineLevel="0" collapsed="false">
      <c r="A37" s="7" t="s">
        <v>1219</v>
      </c>
      <c r="B37" s="7" t="s">
        <v>1220</v>
      </c>
      <c r="C37" s="7" t="n">
        <v>2023</v>
      </c>
      <c r="D37" s="7" t="s">
        <v>1221</v>
      </c>
      <c r="E37" s="7" t="s">
        <v>107</v>
      </c>
      <c r="F37" s="7" t="s">
        <v>1222</v>
      </c>
      <c r="G37" s="7" t="s">
        <v>1186</v>
      </c>
      <c r="H37" s="7" t="s">
        <v>1223</v>
      </c>
    </row>
    <row r="38" customFormat="false" ht="45.75" hidden="false" customHeight="true" outlineLevel="0" collapsed="false">
      <c r="A38" s="7" t="s">
        <v>1224</v>
      </c>
      <c r="B38" s="7" t="s">
        <v>1225</v>
      </c>
      <c r="C38" s="7" t="n">
        <v>2023</v>
      </c>
      <c r="D38" s="7" t="s">
        <v>1226</v>
      </c>
      <c r="E38" s="7" t="s">
        <v>899</v>
      </c>
      <c r="F38" s="7" t="s">
        <v>1227</v>
      </c>
      <c r="G38" s="7" t="s">
        <v>1186</v>
      </c>
      <c r="H38" s="7" t="s">
        <v>1228</v>
      </c>
    </row>
    <row r="39" customFormat="false" ht="23.25" hidden="false" customHeight="true" outlineLevel="0" collapsed="false">
      <c r="A39" s="7" t="s">
        <v>1229</v>
      </c>
      <c r="B39" s="7" t="s">
        <v>1230</v>
      </c>
      <c r="C39" s="7" t="n">
        <v>2025</v>
      </c>
      <c r="D39" s="7" t="s">
        <v>1231</v>
      </c>
      <c r="E39" s="7" t="s">
        <v>1232</v>
      </c>
      <c r="F39" s="7" t="s">
        <v>1233</v>
      </c>
      <c r="G39" s="7" t="s">
        <v>1186</v>
      </c>
      <c r="H39" s="7" t="s">
        <v>1234</v>
      </c>
    </row>
    <row r="40" customFormat="false" ht="23.25" hidden="false" customHeight="true" outlineLevel="0" collapsed="false">
      <c r="A40" s="7" t="s">
        <v>1235</v>
      </c>
      <c r="B40" s="7" t="s">
        <v>1236</v>
      </c>
      <c r="C40" s="7" t="n">
        <v>2012</v>
      </c>
      <c r="D40" s="7" t="s">
        <v>1237</v>
      </c>
      <c r="E40" s="7" t="s">
        <v>207</v>
      </c>
      <c r="F40" s="7" t="s">
        <v>1238</v>
      </c>
      <c r="G40" s="7" t="s">
        <v>1239</v>
      </c>
      <c r="H40" s="7" t="s">
        <v>1240</v>
      </c>
    </row>
    <row r="41" customFormat="false" ht="23.25" hidden="false" customHeight="true" outlineLevel="0" collapsed="false">
      <c r="A41" s="7" t="s">
        <v>1241</v>
      </c>
      <c r="B41" s="7" t="s">
        <v>1242</v>
      </c>
      <c r="C41" s="7" t="n">
        <v>2013</v>
      </c>
      <c r="D41" s="7" t="s">
        <v>1243</v>
      </c>
      <c r="E41" s="7" t="s">
        <v>207</v>
      </c>
      <c r="F41" s="7" t="s">
        <v>1244</v>
      </c>
      <c r="G41" s="7" t="s">
        <v>1239</v>
      </c>
      <c r="H41" s="7" t="s">
        <v>1245</v>
      </c>
    </row>
    <row r="42" customFormat="false" ht="23.25" hidden="false" customHeight="true" outlineLevel="0" collapsed="false">
      <c r="A42" s="7" t="s">
        <v>1246</v>
      </c>
      <c r="B42" s="7" t="s">
        <v>1247</v>
      </c>
      <c r="C42" s="7" t="n">
        <v>2016</v>
      </c>
      <c r="D42" s="7" t="s">
        <v>1248</v>
      </c>
      <c r="E42" s="7" t="s">
        <v>207</v>
      </c>
      <c r="F42" s="7" t="s">
        <v>1249</v>
      </c>
      <c r="G42" s="7" t="s">
        <v>1239</v>
      </c>
      <c r="H42" s="7" t="s">
        <v>1250</v>
      </c>
    </row>
    <row r="43" customFormat="false" ht="34.5" hidden="false" customHeight="true" outlineLevel="0" collapsed="false">
      <c r="A43" s="7" t="s">
        <v>1251</v>
      </c>
      <c r="B43" s="7" t="s">
        <v>1252</v>
      </c>
      <c r="C43" s="7" t="n">
        <v>2017</v>
      </c>
      <c r="D43" s="7" t="s">
        <v>1253</v>
      </c>
      <c r="E43" s="7" t="s">
        <v>1254</v>
      </c>
      <c r="F43" s="7" t="s">
        <v>1255</v>
      </c>
      <c r="G43" s="7" t="s">
        <v>1239</v>
      </c>
      <c r="H43" s="7" t="s">
        <v>1256</v>
      </c>
    </row>
    <row r="44" customFormat="false" ht="34.5" hidden="false" customHeight="true" outlineLevel="0" collapsed="false">
      <c r="A44" s="7" t="s">
        <v>1257</v>
      </c>
      <c r="B44" s="7" t="s">
        <v>594</v>
      </c>
      <c r="C44" s="7" t="n">
        <v>2017</v>
      </c>
      <c r="D44" s="7" t="s">
        <v>1258</v>
      </c>
      <c r="E44" s="7" t="s">
        <v>207</v>
      </c>
      <c r="F44" s="7" t="s">
        <v>1259</v>
      </c>
      <c r="G44" s="7" t="s">
        <v>1239</v>
      </c>
      <c r="H44" s="7" t="s">
        <v>1260</v>
      </c>
    </row>
    <row r="45" customFormat="false" ht="23.25" hidden="false" customHeight="true" outlineLevel="0" collapsed="false">
      <c r="A45" s="7" t="s">
        <v>1261</v>
      </c>
      <c r="B45" s="7" t="s">
        <v>1262</v>
      </c>
      <c r="C45" s="7" t="n">
        <v>2025</v>
      </c>
      <c r="D45" s="7" t="s">
        <v>1263</v>
      </c>
      <c r="E45" s="7" t="s">
        <v>1264</v>
      </c>
      <c r="F45" s="7" t="s">
        <v>1265</v>
      </c>
      <c r="G45" s="7" t="s">
        <v>1239</v>
      </c>
      <c r="H45" s="7" t="s">
        <v>1266</v>
      </c>
    </row>
    <row r="46" customFormat="false" ht="23.25" hidden="false" customHeight="true" outlineLevel="0" collapsed="false">
      <c r="A46" s="7" t="s">
        <v>1267</v>
      </c>
      <c r="B46" s="7" t="s">
        <v>1268</v>
      </c>
      <c r="C46" s="7" t="n">
        <v>2012</v>
      </c>
      <c r="D46" s="7" t="s">
        <v>1269</v>
      </c>
      <c r="E46" s="7" t="s">
        <v>1270</v>
      </c>
      <c r="F46" s="7" t="s">
        <v>1271</v>
      </c>
      <c r="G46" s="7" t="s">
        <v>1272</v>
      </c>
      <c r="H46" s="7" t="s">
        <v>1273</v>
      </c>
    </row>
    <row r="47" customFormat="false" ht="23.25" hidden="false" customHeight="true" outlineLevel="0" collapsed="false">
      <c r="A47" s="7" t="s">
        <v>1274</v>
      </c>
      <c r="B47" s="7" t="s">
        <v>1275</v>
      </c>
      <c r="C47" s="7" t="n">
        <v>2013</v>
      </c>
      <c r="D47" s="7" t="s">
        <v>1276</v>
      </c>
      <c r="E47" s="7" t="s">
        <v>97</v>
      </c>
      <c r="F47" s="7" t="s">
        <v>1277</v>
      </c>
      <c r="G47" s="7" t="s">
        <v>1272</v>
      </c>
      <c r="H47" s="7" t="s">
        <v>1278</v>
      </c>
    </row>
    <row r="48" customFormat="false" ht="23.25" hidden="false" customHeight="true" outlineLevel="0" collapsed="false">
      <c r="A48" s="7" t="s">
        <v>1279</v>
      </c>
      <c r="B48" s="7" t="s">
        <v>648</v>
      </c>
      <c r="C48" s="7" t="n">
        <v>2021</v>
      </c>
      <c r="D48" s="7" t="s">
        <v>1280</v>
      </c>
      <c r="E48" s="7" t="s">
        <v>675</v>
      </c>
      <c r="F48" s="7" t="s">
        <v>1281</v>
      </c>
      <c r="G48" s="7" t="s">
        <v>1272</v>
      </c>
      <c r="H48" s="7" t="s">
        <v>1282</v>
      </c>
    </row>
    <row r="49" customFormat="false" ht="34.5" hidden="false" customHeight="true" outlineLevel="0" collapsed="false">
      <c r="A49" s="7" t="s">
        <v>1283</v>
      </c>
      <c r="B49" s="7" t="s">
        <v>1284</v>
      </c>
      <c r="C49" s="7" t="n">
        <v>2022</v>
      </c>
      <c r="D49" s="7" t="s">
        <v>1285</v>
      </c>
      <c r="E49" s="7" t="s">
        <v>226</v>
      </c>
      <c r="F49" s="7" t="s">
        <v>1286</v>
      </c>
      <c r="G49" s="7" t="s">
        <v>1272</v>
      </c>
      <c r="H49" s="7" t="s">
        <v>1287</v>
      </c>
    </row>
    <row r="50" customFormat="false" ht="23.25" hidden="false" customHeight="true" outlineLevel="0" collapsed="false">
      <c r="A50" s="7" t="s">
        <v>1288</v>
      </c>
      <c r="B50" s="7" t="s">
        <v>1289</v>
      </c>
      <c r="C50" s="7" t="n">
        <v>2022</v>
      </c>
      <c r="D50" s="7" t="s">
        <v>1290</v>
      </c>
      <c r="E50" s="7" t="s">
        <v>1291</v>
      </c>
      <c r="F50" s="7" t="s">
        <v>1292</v>
      </c>
      <c r="G50" s="7" t="s">
        <v>1272</v>
      </c>
      <c r="H50" s="7" t="s">
        <v>1293</v>
      </c>
    </row>
    <row r="51" customFormat="false" ht="23.25" hidden="false" customHeight="true" outlineLevel="0" collapsed="false">
      <c r="A51" s="7" t="s">
        <v>1294</v>
      </c>
      <c r="B51" s="7" t="s">
        <v>1295</v>
      </c>
      <c r="C51" s="7" t="n">
        <v>2022</v>
      </c>
      <c r="D51" s="7" t="s">
        <v>1296</v>
      </c>
      <c r="E51" s="7" t="s">
        <v>1297</v>
      </c>
      <c r="F51" s="7" t="s">
        <v>1298</v>
      </c>
      <c r="G51" s="7" t="s">
        <v>1272</v>
      </c>
      <c r="H51" s="7" t="s">
        <v>1299</v>
      </c>
    </row>
    <row r="52" customFormat="false" ht="23.25" hidden="false" customHeight="true" outlineLevel="0" collapsed="false">
      <c r="A52" s="7" t="s">
        <v>1300</v>
      </c>
      <c r="B52" s="7" t="s">
        <v>1301</v>
      </c>
      <c r="C52" s="7" t="n">
        <v>2025</v>
      </c>
      <c r="D52" s="7" t="s">
        <v>1302</v>
      </c>
      <c r="E52" s="7" t="s">
        <v>1303</v>
      </c>
      <c r="F52" s="7" t="s">
        <v>1304</v>
      </c>
      <c r="G52" s="7" t="s">
        <v>1272</v>
      </c>
      <c r="H52" s="7" t="s">
        <v>1305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s>
  <sheetData>
    <row r="1" customFormat="false" ht="15" hidden="false" customHeight="true" outlineLevel="0" collapsed="false">
      <c r="A1" s="2" t="s">
        <v>1306</v>
      </c>
    </row>
    <row r="2" customFormat="false" ht="15" hidden="false" customHeight="true" outlineLevel="0" collapsed="false">
      <c r="A2" s="5" t="s">
        <v>1307</v>
      </c>
    </row>
    <row r="4" customFormat="false" ht="15" hidden="false" customHeight="true" outlineLevel="0" collapsed="false">
      <c r="A4" s="9" t="s">
        <v>1308</v>
      </c>
      <c r="B4" s="9" t="s">
        <v>1309</v>
      </c>
    </row>
    <row r="5" customFormat="false" ht="15" hidden="false" customHeight="true" outlineLevel="0" collapsed="false">
      <c r="A5" s="10" t="s">
        <v>1310</v>
      </c>
      <c r="B5" s="10" t="s">
        <v>1311</v>
      </c>
    </row>
    <row r="6" customFormat="false" ht="15" hidden="false" customHeight="true" outlineLevel="0" collapsed="false">
      <c r="A6" s="10" t="s">
        <v>1312</v>
      </c>
      <c r="B6" s="10" t="s">
        <v>1313</v>
      </c>
    </row>
    <row r="7" customFormat="false" ht="15" hidden="false" customHeight="true" outlineLevel="0" collapsed="false">
      <c r="A7" s="10" t="s">
        <v>1314</v>
      </c>
      <c r="B7" s="10" t="s">
        <v>1315</v>
      </c>
    </row>
    <row r="8" customFormat="false" ht="15" hidden="false" customHeight="true" outlineLevel="0" collapsed="false">
      <c r="A8" s="10" t="s">
        <v>1316</v>
      </c>
      <c r="B8" s="10" t="s">
        <v>1317</v>
      </c>
    </row>
    <row r="9" customFormat="false" ht="15" hidden="false" customHeight="true" outlineLevel="0" collapsed="false">
      <c r="A9" s="10" t="s">
        <v>1318</v>
      </c>
      <c r="B9" s="11" t="s">
        <v>1319</v>
      </c>
    </row>
    <row r="10" customFormat="false" ht="15" hidden="false" customHeight="true" outlineLevel="0" collapsed="false">
      <c r="A10" s="10" t="s">
        <v>1320</v>
      </c>
      <c r="B10" s="11" t="s">
        <v>1319</v>
      </c>
    </row>
    <row r="11" customFormat="false" ht="15" hidden="false" customHeight="true" outlineLevel="0" collapsed="false">
      <c r="A11" s="10" t="s">
        <v>1321</v>
      </c>
      <c r="B11" s="11" t="s">
        <v>1319</v>
      </c>
    </row>
    <row r="12" customFormat="false" ht="15" hidden="false" customHeight="true" outlineLevel="0" collapsed="false">
      <c r="A12" s="10" t="s">
        <v>1322</v>
      </c>
      <c r="B12" s="11" t="s">
        <v>1319</v>
      </c>
    </row>
    <row r="13" customFormat="false" ht="15" hidden="false" customHeight="true" outlineLevel="0" collapsed="false">
      <c r="A13" s="10" t="s">
        <v>1323</v>
      </c>
      <c r="B13" s="11" t="s">
        <v>1319</v>
      </c>
    </row>
    <row r="14" customFormat="false" ht="15" hidden="false" customHeight="true" outlineLevel="0" collapsed="false">
      <c r="A14" s="10" t="s">
        <v>1324</v>
      </c>
      <c r="B14" s="11" t="s">
        <v>1319</v>
      </c>
    </row>
    <row r="15" customFormat="false" ht="15" hidden="false" customHeight="true" outlineLevel="0" collapsed="false">
      <c r="A15" s="10" t="s">
        <v>1325</v>
      </c>
      <c r="B15" s="11" t="s">
        <v>1319</v>
      </c>
    </row>
    <row r="16" customFormat="false" ht="15" hidden="false" customHeight="true" outlineLevel="0" collapsed="false">
      <c r="A16" s="10" t="s">
        <v>1326</v>
      </c>
      <c r="B16" s="11" t="s">
        <v>1319</v>
      </c>
    </row>
    <row r="17" customFormat="false" ht="15" hidden="false" customHeight="true" outlineLevel="0" collapsed="false">
      <c r="A17" s="10" t="s">
        <v>1327</v>
      </c>
      <c r="B17" s="11" t="s">
        <v>1319</v>
      </c>
    </row>
    <row r="18" customFormat="false" ht="15" hidden="false" customHeight="true" outlineLevel="0" collapsed="false">
      <c r="A18" s="10" t="s">
        <v>1328</v>
      </c>
      <c r="B18" s="11" t="s">
        <v>1319</v>
      </c>
    </row>
    <row r="19" customFormat="false" ht="15" hidden="false" customHeight="true" outlineLevel="0" collapsed="false">
      <c r="A19" s="10" t="s">
        <v>1329</v>
      </c>
      <c r="B19" s="11" t="s">
        <v>1319</v>
      </c>
    </row>
    <row r="20" customFormat="false" ht="15" hidden="false" customHeight="true" outlineLevel="0" collapsed="false">
      <c r="A20" s="10" t="s">
        <v>1330</v>
      </c>
      <c r="B20" s="11" t="s">
        <v>1319</v>
      </c>
    </row>
    <row r="21" customFormat="false" ht="15" hidden="false" customHeight="true" outlineLevel="0" collapsed="false">
      <c r="A21" s="10" t="s">
        <v>1331</v>
      </c>
      <c r="B21" s="11" t="s">
        <v>1319</v>
      </c>
    </row>
    <row r="22" customFormat="false" ht="15" hidden="false" customHeight="true" outlineLevel="0" collapsed="false">
      <c r="A22" s="10" t="s">
        <v>1332</v>
      </c>
      <c r="B22" s="11" t="s">
        <v>1319</v>
      </c>
    </row>
    <row r="23" customFormat="false" ht="15" hidden="false" customHeight="true" outlineLevel="0" collapsed="false">
      <c r="A23" s="10" t="s">
        <v>1333</v>
      </c>
      <c r="B23" s="11" t="s">
        <v>1319</v>
      </c>
    </row>
    <row r="24" customFormat="false" ht="15" hidden="false" customHeight="true" outlineLevel="0" collapsed="false">
      <c r="A24" s="10" t="s">
        <v>1334</v>
      </c>
      <c r="B24" s="11" t="s">
        <v>1319</v>
      </c>
    </row>
    <row r="25" customFormat="false" ht="15" hidden="false" customHeight="true" outlineLevel="0" collapsed="false">
      <c r="A25" s="10" t="s">
        <v>1335</v>
      </c>
      <c r="B25" s="11" t="s">
        <v>1319</v>
      </c>
    </row>
    <row r="26" customFormat="false" ht="15" hidden="false" customHeight="true" outlineLevel="0" collapsed="false">
      <c r="A26" s="10" t="s">
        <v>1336</v>
      </c>
      <c r="B26" s="11" t="s">
        <v>1319</v>
      </c>
    </row>
    <row r="27" customFormat="false" ht="15" hidden="false" customHeight="true" outlineLevel="0" collapsed="false">
      <c r="A27" s="10" t="s">
        <v>1337</v>
      </c>
      <c r="B27" s="11" t="s">
        <v>1319</v>
      </c>
    </row>
    <row r="28" customFormat="false" ht="15" hidden="false" customHeight="true" outlineLevel="0" collapsed="false">
      <c r="A28" s="10" t="s">
        <v>1338</v>
      </c>
      <c r="B28" s="11" t="s">
        <v>1319</v>
      </c>
    </row>
    <row r="29" customFormat="false" ht="15" hidden="false" customHeight="true" outlineLevel="0" collapsed="false">
      <c r="A29" s="10" t="s">
        <v>1339</v>
      </c>
      <c r="B29" s="11" t="s">
        <v>1319</v>
      </c>
    </row>
    <row r="30" customFormat="false" ht="15" hidden="false" customHeight="true" outlineLevel="0" collapsed="false">
      <c r="A30" s="10" t="s">
        <v>1340</v>
      </c>
      <c r="B30" s="11" t="s">
        <v>1319</v>
      </c>
    </row>
    <row r="31" customFormat="false" ht="15" hidden="false" customHeight="true" outlineLevel="0" collapsed="false">
      <c r="A31" s="10" t="s">
        <v>1341</v>
      </c>
      <c r="B31" s="11" t="s">
        <v>1319</v>
      </c>
    </row>
    <row r="32" customFormat="false" ht="15" hidden="false" customHeight="true" outlineLevel="0" collapsed="false">
      <c r="A32" s="10" t="s">
        <v>1342</v>
      </c>
      <c r="B32" s="11" t="s">
        <v>1319</v>
      </c>
    </row>
    <row r="33" customFormat="false" ht="15" hidden="false" customHeight="true" outlineLevel="0" collapsed="false">
      <c r="A33" s="10" t="s">
        <v>1343</v>
      </c>
      <c r="B33" s="11" t="s">
        <v>1319</v>
      </c>
    </row>
    <row r="34" customFormat="false" ht="15" hidden="false" customHeight="true" outlineLevel="0" collapsed="false">
      <c r="A34" s="10" t="s">
        <v>1344</v>
      </c>
      <c r="B34" s="11" t="s">
        <v>1319</v>
      </c>
    </row>
    <row r="35" customFormat="false" ht="15" hidden="false" customHeight="true" outlineLevel="0" collapsed="false">
      <c r="A35" s="10" t="s">
        <v>1345</v>
      </c>
      <c r="B35" s="11" t="s">
        <v>1319</v>
      </c>
    </row>
    <row r="36" customFormat="false" ht="15" hidden="false" customHeight="true" outlineLevel="0" collapsed="false">
      <c r="A36" s="10" t="s">
        <v>1346</v>
      </c>
      <c r="B36" s="11" t="s">
        <v>1319</v>
      </c>
    </row>
    <row r="37" customFormat="false" ht="15" hidden="false" customHeight="true" outlineLevel="0" collapsed="false">
      <c r="A37" s="10" t="s">
        <v>1347</v>
      </c>
      <c r="B37" s="11" t="s">
        <v>1319</v>
      </c>
    </row>
    <row r="38" customFormat="false" ht="15" hidden="false" customHeight="true" outlineLevel="0" collapsed="false">
      <c r="A38" s="10" t="s">
        <v>1348</v>
      </c>
      <c r="B38" s="11" t="s">
        <v>1319</v>
      </c>
    </row>
    <row r="39" customFormat="false" ht="15" hidden="false" customHeight="true" outlineLevel="0" collapsed="false">
      <c r="A39" s="10"/>
      <c r="B39" s="10"/>
    </row>
    <row r="40" customFormat="false" ht="15" hidden="false" customHeight="true" outlineLevel="0" collapsed="false">
      <c r="A40" s="10"/>
      <c r="B40" s="10"/>
    </row>
    <row r="41" customFormat="false" ht="15" hidden="false" customHeight="true" outlineLevel="0" collapsed="false">
      <c r="A41" s="10"/>
      <c r="B41" s="10"/>
    </row>
    <row r="42" customFormat="false" ht="15" hidden="false" customHeight="true" outlineLevel="0" collapsed="false">
      <c r="A42" s="10"/>
      <c r="B42" s="10"/>
    </row>
    <row r="43" customFormat="false" ht="15" hidden="false" customHeight="true" outlineLevel="0" collapsed="false">
      <c r="A43" s="10"/>
      <c r="B43" s="10"/>
    </row>
    <row r="44" customFormat="false" ht="15" hidden="false" customHeight="true" outlineLevel="0" collapsed="false">
      <c r="A44" s="10"/>
      <c r="B44" s="10"/>
    </row>
    <row r="45" customFormat="false" ht="15" hidden="false" customHeight="true" outlineLevel="0" collapsed="false">
      <c r="A45" s="10"/>
      <c r="B45" s="10"/>
    </row>
    <row r="46" customFormat="false" ht="15" hidden="false" customHeight="true" outlineLevel="0" collapsed="false">
      <c r="A46" s="10"/>
      <c r="B46" s="10"/>
    </row>
    <row r="47" customFormat="false" ht="15" hidden="false" customHeight="true" outlineLevel="0" collapsed="false">
      <c r="A47" s="10"/>
      <c r="B47" s="10"/>
    </row>
    <row r="48" customFormat="false" ht="15" hidden="false" customHeight="true" outlineLevel="0" collapsed="false">
      <c r="A48" s="10"/>
      <c r="B48" s="10"/>
    </row>
    <row r="49" customFormat="false" ht="15" hidden="false" customHeight="true" outlineLevel="0" collapsed="false">
      <c r="A49" s="10"/>
      <c r="B49" s="10"/>
    </row>
    <row r="50" customFormat="false" ht="15" hidden="false" customHeight="true" outlineLevel="0" collapsed="false">
      <c r="A50" s="10"/>
      <c r="B50" s="10"/>
    </row>
    <row r="51" customFormat="false" ht="15" hidden="false" customHeight="true" outlineLevel="0" collapsed="false">
      <c r="A51" s="10"/>
      <c r="B51" s="10"/>
    </row>
    <row r="52" customFormat="false" ht="15" hidden="false" customHeight="true" outlineLevel="0" collapsed="false">
      <c r="A52" s="10"/>
      <c r="B52" s="10"/>
    </row>
    <row r="53" customFormat="false" ht="15" hidden="false" customHeight="true" outlineLevel="0" collapsed="false">
      <c r="A53" s="10"/>
      <c r="B53" s="10"/>
    </row>
    <row r="54" customFormat="false" ht="15" hidden="false" customHeight="true" outlineLevel="0" collapsed="false">
      <c r="A54" s="10"/>
      <c r="B54" s="10"/>
    </row>
    <row r="55" customFormat="false" ht="15" hidden="false" customHeight="true" outlineLevel="0" collapsed="false">
      <c r="A55" s="10"/>
      <c r="B55" s="10"/>
    </row>
    <row r="56" customFormat="false" ht="15" hidden="false" customHeight="true" outlineLevel="0" collapsed="false">
      <c r="A56" s="10"/>
      <c r="B56" s="10"/>
    </row>
    <row r="57" customFormat="false" ht="15" hidden="false" customHeight="true" outlineLevel="0" collapsed="false">
      <c r="A57" s="10"/>
      <c r="B57" s="10"/>
    </row>
    <row r="58" customFormat="false" ht="15" hidden="false" customHeight="true" outlineLevel="0" collapsed="false">
      <c r="A58" s="10"/>
      <c r="B58" s="10"/>
    </row>
    <row r="59" customFormat="false" ht="15" hidden="false" customHeight="true" outlineLevel="0" collapsed="false">
      <c r="A59" s="10"/>
      <c r="B59" s="10"/>
    </row>
    <row r="60" customFormat="false" ht="15" hidden="false" customHeight="true" outlineLevel="0" collapsed="false">
      <c r="A60" s="10"/>
      <c r="B60" s="10"/>
    </row>
    <row r="61" customFormat="false" ht="15" hidden="false" customHeight="true" outlineLevel="0" collapsed="false">
      <c r="A61" s="10"/>
      <c r="B61" s="10"/>
    </row>
    <row r="62" customFormat="false" ht="15" hidden="false" customHeight="true" outlineLevel="0" collapsed="false">
      <c r="A62" s="10"/>
      <c r="B62" s="10"/>
    </row>
    <row r="63" customFormat="false" ht="15" hidden="false" customHeight="true" outlineLevel="0" collapsed="false">
      <c r="A63" s="10"/>
      <c r="B63" s="10"/>
    </row>
    <row r="64" customFormat="false" ht="15" hidden="false" customHeight="true" outlineLevel="0" collapsed="false">
      <c r="A64" s="10"/>
      <c r="B64" s="10"/>
    </row>
    <row r="65" customFormat="false" ht="15" hidden="false" customHeight="true" outlineLevel="0" collapsed="false">
      <c r="A65" s="10"/>
      <c r="B65" s="10"/>
    </row>
    <row r="66" customFormat="false" ht="15" hidden="false" customHeight="true" outlineLevel="0" collapsed="false">
      <c r="A66" s="10"/>
      <c r="B66" s="10"/>
    </row>
    <row r="67" customFormat="false" ht="15" hidden="false" customHeight="true" outlineLevel="0" collapsed="false">
      <c r="A67" s="10"/>
      <c r="B67" s="10"/>
    </row>
    <row r="68" customFormat="false" ht="15" hidden="false" customHeight="true" outlineLevel="0" collapsed="false">
      <c r="A68" s="10"/>
      <c r="B68" s="10"/>
    </row>
    <row r="69" customFormat="false" ht="15" hidden="false" customHeight="true" outlineLevel="0" collapsed="false">
      <c r="A69" s="10"/>
      <c r="B69" s="10"/>
    </row>
    <row r="70" customFormat="false" ht="15" hidden="false" customHeight="true" outlineLevel="0" collapsed="false">
      <c r="A70" s="10"/>
      <c r="B70" s="10"/>
    </row>
    <row r="71" customFormat="false" ht="15" hidden="false" customHeight="true" outlineLevel="0" collapsed="false">
      <c r="A71" s="10"/>
      <c r="B71" s="10"/>
    </row>
    <row r="72" customFormat="false" ht="15" hidden="false" customHeight="true" outlineLevel="0" collapsed="false">
      <c r="A72" s="10"/>
      <c r="B72" s="10"/>
    </row>
    <row r="73" customFormat="false" ht="15" hidden="false" customHeight="true" outlineLevel="0" collapsed="false">
      <c r="A73" s="10"/>
      <c r="B73" s="10"/>
    </row>
    <row r="74" customFormat="false" ht="15" hidden="false" customHeight="true" outlineLevel="0" collapsed="false">
      <c r="A74" s="10"/>
      <c r="B74" s="10"/>
    </row>
    <row r="75" customFormat="false" ht="15" hidden="false" customHeight="true" outlineLevel="0" collapsed="false">
      <c r="A75" s="10"/>
      <c r="B75" s="10"/>
    </row>
    <row r="76" customFormat="false" ht="15" hidden="false" customHeight="true" outlineLevel="0" collapsed="false">
      <c r="A76" s="10"/>
      <c r="B76" s="10"/>
    </row>
    <row r="77" customFormat="false" ht="15" hidden="false" customHeight="true" outlineLevel="0" collapsed="false">
      <c r="A77" s="10"/>
      <c r="B77" s="10"/>
    </row>
    <row r="78" customFormat="false" ht="15" hidden="false" customHeight="true" outlineLevel="0" collapsed="false">
      <c r="A78" s="10"/>
      <c r="B78" s="10"/>
    </row>
    <row r="79" customFormat="false" ht="15" hidden="false" customHeight="true" outlineLevel="0" collapsed="false">
      <c r="A79" s="10"/>
      <c r="B79" s="10"/>
    </row>
    <row r="80" customFormat="false" ht="15" hidden="false" customHeight="true" outlineLevel="0" collapsed="false">
      <c r="A80" s="10"/>
      <c r="B80" s="10"/>
    </row>
    <row r="81" customFormat="false" ht="15" hidden="false" customHeight="true" outlineLevel="0" collapsed="false">
      <c r="A81" s="10"/>
      <c r="B81" s="10"/>
    </row>
    <row r="82" customFormat="false" ht="15" hidden="false" customHeight="true" outlineLevel="0" collapsed="false">
      <c r="A82" s="10"/>
      <c r="B82" s="10"/>
    </row>
    <row r="83" customFormat="false" ht="15" hidden="false" customHeight="true" outlineLevel="0" collapsed="false">
      <c r="A83" s="10"/>
      <c r="B83" s="10"/>
    </row>
    <row r="84" customFormat="false" ht="15" hidden="false" customHeight="true" outlineLevel="0" collapsed="false">
      <c r="A84" s="10"/>
      <c r="B84" s="10"/>
    </row>
    <row r="85" customFormat="false" ht="15" hidden="false" customHeight="true" outlineLevel="0" collapsed="false">
      <c r="A85" s="10"/>
      <c r="B85" s="10"/>
    </row>
    <row r="86" customFormat="false" ht="15" hidden="false" customHeight="true" outlineLevel="0" collapsed="false">
      <c r="A86" s="10"/>
      <c r="B86" s="10"/>
    </row>
    <row r="87" customFormat="false" ht="15" hidden="false" customHeight="true" outlineLevel="0" collapsed="false">
      <c r="A87" s="10"/>
      <c r="B87" s="10"/>
    </row>
    <row r="88" customFormat="false" ht="15" hidden="false" customHeight="true" outlineLevel="0" collapsed="false">
      <c r="A88" s="10"/>
      <c r="B88" s="10"/>
    </row>
    <row r="89" customFormat="false" ht="15" hidden="false" customHeight="true" outlineLevel="0" collapsed="false">
      <c r="A89" s="10"/>
      <c r="B89" s="10"/>
    </row>
    <row r="90" customFormat="false" ht="15" hidden="false" customHeight="true" outlineLevel="0" collapsed="false">
      <c r="A90" s="10"/>
      <c r="B90" s="10"/>
    </row>
    <row r="91" customFormat="false" ht="15" hidden="false" customHeight="true" outlineLevel="0" collapsed="false">
      <c r="A91" s="10"/>
      <c r="B91" s="10"/>
    </row>
    <row r="92" customFormat="false" ht="15" hidden="false" customHeight="true" outlineLevel="0" collapsed="false">
      <c r="A92" s="10"/>
      <c r="B92" s="10"/>
    </row>
    <row r="93" customFormat="false" ht="15" hidden="false" customHeight="true" outlineLevel="0" collapsed="false">
      <c r="A93" s="10"/>
      <c r="B93" s="10"/>
    </row>
    <row r="94" customFormat="false" ht="15" hidden="false" customHeight="true" outlineLevel="0" collapsed="false">
      <c r="A94" s="10"/>
      <c r="B94" s="10"/>
    </row>
    <row r="95" customFormat="false" ht="15" hidden="false" customHeight="true" outlineLevel="0" collapsed="false">
      <c r="A95" s="10"/>
      <c r="B95" s="10"/>
    </row>
    <row r="96" customFormat="false" ht="15" hidden="false" customHeight="true" outlineLevel="0" collapsed="false">
      <c r="A96" s="10"/>
      <c r="B96" s="10"/>
    </row>
    <row r="97" customFormat="false" ht="15" hidden="false" customHeight="true" outlineLevel="0" collapsed="false">
      <c r="A97" s="10"/>
      <c r="B97" s="10"/>
    </row>
    <row r="98" customFormat="false" ht="15" hidden="false" customHeight="true" outlineLevel="0" collapsed="false">
      <c r="A98" s="10"/>
      <c r="B98" s="10"/>
    </row>
    <row r="99" customFormat="false" ht="15" hidden="false" customHeight="true" outlineLevel="0" collapsed="false">
      <c r="A99" s="10"/>
      <c r="B99" s="10"/>
    </row>
    <row r="100" customFormat="false" ht="15" hidden="false" customHeight="true" outlineLevel="0" collapsed="false">
      <c r="A100" s="10"/>
      <c r="B100" s="10"/>
    </row>
    <row r="101" customFormat="false" ht="15" hidden="false" customHeight="true" outlineLevel="0" collapsed="false">
      <c r="A101" s="10"/>
      <c r="B101" s="10"/>
    </row>
    <row r="102" customFormat="false" ht="15" hidden="false" customHeight="true" outlineLevel="0" collapsed="false">
      <c r="A102" s="10"/>
      <c r="B102" s="10"/>
    </row>
    <row r="103" customFormat="false" ht="15" hidden="false" customHeight="true" outlineLevel="0" collapsed="false">
      <c r="A103" s="10"/>
      <c r="B103" s="10"/>
    </row>
    <row r="104" customFormat="false" ht="15" hidden="false" customHeight="true" outlineLevel="0" collapsed="false">
      <c r="A104" s="10"/>
      <c r="B104" s="10"/>
    </row>
    <row r="105" customFormat="false" ht="15" hidden="false" customHeight="true" outlineLevel="0" collapsed="false">
      <c r="A105" s="10"/>
      <c r="B105" s="10"/>
    </row>
    <row r="106" customFormat="false" ht="15" hidden="false" customHeight="true" outlineLevel="0" collapsed="false">
      <c r="A106" s="10"/>
      <c r="B106" s="10"/>
    </row>
    <row r="107" customFormat="false" ht="15" hidden="false" customHeight="true" outlineLevel="0" collapsed="false">
      <c r="A107" s="10"/>
      <c r="B107" s="10"/>
    </row>
    <row r="108" customFormat="false" ht="15" hidden="false" customHeight="true" outlineLevel="0" collapsed="false">
      <c r="A108" s="10"/>
      <c r="B108" s="10"/>
    </row>
    <row r="109" customFormat="false" ht="15" hidden="false" customHeight="true" outlineLevel="0" collapsed="false">
      <c r="A109" s="10"/>
      <c r="B109" s="10"/>
    </row>
    <row r="110" customFormat="false" ht="15" hidden="false" customHeight="true" outlineLevel="0" collapsed="false">
      <c r="A110" s="10"/>
      <c r="B110" s="10"/>
    </row>
    <row r="111" customFormat="false" ht="15" hidden="false" customHeight="true" outlineLevel="0" collapsed="false">
      <c r="A111" s="10"/>
      <c r="B111" s="10"/>
    </row>
    <row r="112" customFormat="false" ht="15" hidden="false" customHeight="true" outlineLevel="0" collapsed="false">
      <c r="A112" s="10"/>
      <c r="B112" s="10"/>
    </row>
    <row r="113" customFormat="false" ht="15" hidden="false" customHeight="true" outlineLevel="0" collapsed="false">
      <c r="A113" s="10"/>
      <c r="B113" s="10"/>
    </row>
    <row r="114" customFormat="false" ht="15" hidden="false" customHeight="true" outlineLevel="0" collapsed="false">
      <c r="A114" s="10"/>
      <c r="B114" s="10"/>
    </row>
    <row r="115" customFormat="false" ht="15" hidden="false" customHeight="true" outlineLevel="0" collapsed="false">
      <c r="A115" s="10"/>
      <c r="B115" s="10"/>
    </row>
    <row r="116" customFormat="false" ht="15" hidden="false" customHeight="true" outlineLevel="0" collapsed="false">
      <c r="A116" s="10"/>
      <c r="B116" s="10"/>
    </row>
    <row r="117" customFormat="false" ht="15" hidden="false" customHeight="true" outlineLevel="0" collapsed="false">
      <c r="A117" s="10"/>
      <c r="B117" s="10"/>
    </row>
    <row r="118" customFormat="false" ht="15" hidden="false" customHeight="true" outlineLevel="0" collapsed="false">
      <c r="A118" s="10"/>
      <c r="B118" s="10"/>
    </row>
    <row r="119" customFormat="false" ht="15" hidden="false" customHeight="true" outlineLevel="0" collapsed="false">
      <c r="A119" s="10"/>
      <c r="B119" s="10"/>
    </row>
    <row r="120" customFormat="false" ht="15" hidden="false" customHeight="true" outlineLevel="0" collapsed="false">
      <c r="A120" s="10"/>
      <c r="B120" s="10"/>
    </row>
    <row r="121" customFormat="false" ht="15" hidden="false" customHeight="true" outlineLevel="0" collapsed="false">
      <c r="A121" s="10"/>
      <c r="B121" s="10"/>
    </row>
    <row r="122" customFormat="false" ht="15" hidden="false" customHeight="true" outlineLevel="0" collapsed="false">
      <c r="A122" s="10"/>
      <c r="B122" s="10"/>
    </row>
    <row r="123" customFormat="false" ht="15" hidden="false" customHeight="true" outlineLevel="0" collapsed="false">
      <c r="A123" s="10"/>
      <c r="B123" s="10"/>
    </row>
    <row r="124" customFormat="false" ht="15" hidden="false" customHeight="true" outlineLevel="0" collapsed="false">
      <c r="A124" s="10"/>
      <c r="B124" s="10"/>
    </row>
    <row r="125" customFormat="false" ht="15" hidden="false" customHeight="true" outlineLevel="0" collapsed="false">
      <c r="A125" s="10"/>
      <c r="B125" s="10"/>
    </row>
    <row r="126" customFormat="false" ht="15" hidden="false" customHeight="true" outlineLevel="0" collapsed="false">
      <c r="A126" s="10"/>
      <c r="B126" s="10"/>
    </row>
    <row r="127" customFormat="false" ht="15" hidden="false" customHeight="true" outlineLevel="0" collapsed="false">
      <c r="A127" s="10"/>
      <c r="B127" s="10"/>
    </row>
    <row r="128" customFormat="false" ht="15" hidden="false" customHeight="true" outlineLevel="0" collapsed="false">
      <c r="A128" s="10"/>
      <c r="B128" s="10"/>
    </row>
    <row r="129" customFormat="false" ht="15" hidden="false" customHeight="true" outlineLevel="0" collapsed="false">
      <c r="A129" s="10"/>
      <c r="B129" s="10"/>
    </row>
    <row r="130" customFormat="false" ht="15" hidden="false" customHeight="true" outlineLevel="0" collapsed="false">
      <c r="A130" s="10"/>
      <c r="B130" s="10"/>
    </row>
    <row r="131" customFormat="false" ht="15" hidden="false" customHeight="true" outlineLevel="0" collapsed="false">
      <c r="A131" s="10"/>
      <c r="B131" s="10"/>
    </row>
    <row r="132" customFormat="false" ht="15" hidden="false" customHeight="true" outlineLevel="0" collapsed="false">
      <c r="A132" s="10"/>
      <c r="B132" s="10"/>
    </row>
    <row r="133" customFormat="false" ht="15" hidden="false" customHeight="true" outlineLevel="0" collapsed="false">
      <c r="A133" s="10"/>
      <c r="B133" s="10"/>
    </row>
    <row r="134" customFormat="false" ht="15" hidden="false" customHeight="true" outlineLevel="0" collapsed="false">
      <c r="A134" s="10"/>
      <c r="B134" s="10"/>
    </row>
    <row r="135" customFormat="false" ht="15" hidden="false" customHeight="true" outlineLevel="0" collapsed="false">
      <c r="A135" s="10"/>
      <c r="B135" s="10"/>
    </row>
    <row r="136" customFormat="false" ht="15" hidden="false" customHeight="true" outlineLevel="0" collapsed="false">
      <c r="A136" s="10"/>
      <c r="B136" s="10"/>
    </row>
    <row r="137" customFormat="false" ht="15" hidden="false" customHeight="true" outlineLevel="0" collapsed="false">
      <c r="A137" s="10"/>
      <c r="B137" s="10"/>
    </row>
    <row r="138" customFormat="false" ht="15" hidden="false" customHeight="true" outlineLevel="0" collapsed="false">
      <c r="A138" s="10"/>
      <c r="B138" s="10"/>
    </row>
    <row r="139" customFormat="false" ht="15" hidden="false" customHeight="true" outlineLevel="0" collapsed="false">
      <c r="A139" s="10"/>
      <c r="B139" s="10"/>
    </row>
    <row r="140" customFormat="false" ht="15" hidden="false" customHeight="true" outlineLevel="0" collapsed="false">
      <c r="A140" s="10"/>
      <c r="B140" s="10"/>
    </row>
    <row r="141" customFormat="false" ht="15" hidden="false" customHeight="true" outlineLevel="0" collapsed="false">
      <c r="A141" s="10"/>
      <c r="B141" s="10"/>
    </row>
    <row r="142" customFormat="false" ht="15" hidden="false" customHeight="true" outlineLevel="0" collapsed="false">
      <c r="A142" s="10"/>
      <c r="B142" s="10"/>
    </row>
    <row r="143" customFormat="false" ht="15" hidden="false" customHeight="true" outlineLevel="0" collapsed="false">
      <c r="A143" s="10"/>
      <c r="B143" s="10"/>
    </row>
    <row r="144" customFormat="false" ht="15" hidden="false" customHeight="true" outlineLevel="0" collapsed="false">
      <c r="A144" s="10"/>
      <c r="B144" s="10"/>
    </row>
    <row r="145" customFormat="false" ht="15" hidden="false" customHeight="true" outlineLevel="0" collapsed="false">
      <c r="A145" s="10"/>
      <c r="B145" s="10"/>
    </row>
    <row r="146" customFormat="false" ht="15" hidden="false" customHeight="true" outlineLevel="0" collapsed="false">
      <c r="A146" s="10"/>
      <c r="B146" s="10"/>
    </row>
    <row r="147" customFormat="false" ht="15" hidden="false" customHeight="true" outlineLevel="0" collapsed="false">
      <c r="A147" s="10"/>
      <c r="B147" s="10"/>
    </row>
    <row r="148" customFormat="false" ht="15" hidden="false" customHeight="true" outlineLevel="0" collapsed="false">
      <c r="A148" s="10"/>
      <c r="B148" s="10"/>
    </row>
    <row r="149" customFormat="false" ht="15" hidden="false" customHeight="true" outlineLevel="0" collapsed="false">
      <c r="A149" s="10"/>
      <c r="B149" s="10"/>
    </row>
    <row r="150" customFormat="false" ht="15" hidden="false" customHeight="true" outlineLevel="0" collapsed="false">
      <c r="A150" s="10"/>
      <c r="B150" s="10"/>
    </row>
    <row r="151" customFormat="false" ht="15" hidden="false" customHeight="true" outlineLevel="0" collapsed="false">
      <c r="A151" s="10"/>
      <c r="B151" s="10"/>
    </row>
    <row r="152" customFormat="false" ht="15" hidden="false" customHeight="true" outlineLevel="0" collapsed="false">
      <c r="A152" s="10"/>
      <c r="B152" s="10"/>
    </row>
    <row r="153" customFormat="false" ht="15" hidden="false" customHeight="true" outlineLevel="0" collapsed="false">
      <c r="A153" s="10"/>
      <c r="B153" s="10"/>
    </row>
    <row r="154" customFormat="false" ht="15" hidden="false" customHeight="true" outlineLevel="0" collapsed="false">
      <c r="A154" s="10"/>
      <c r="B154" s="10"/>
    </row>
    <row r="155" customFormat="false" ht="15" hidden="false" customHeight="true" outlineLevel="0" collapsed="false">
      <c r="A155" s="10"/>
      <c r="B155" s="10"/>
    </row>
    <row r="156" customFormat="false" ht="15" hidden="false" customHeight="true" outlineLevel="0" collapsed="false">
      <c r="A156" s="10"/>
      <c r="B156" s="10"/>
    </row>
    <row r="157" customFormat="false" ht="15" hidden="false" customHeight="true" outlineLevel="0" collapsed="false">
      <c r="A157" s="10"/>
      <c r="B157" s="10"/>
    </row>
    <row r="158" customFormat="false" ht="15" hidden="false" customHeight="true" outlineLevel="0" collapsed="false">
      <c r="A158" s="10"/>
      <c r="B158" s="11"/>
    </row>
    <row r="159" customFormat="false" ht="15" hidden="false" customHeight="true" outlineLevel="0" collapsed="false">
      <c r="A159" s="10"/>
      <c r="B159" s="11"/>
    </row>
    <row r="160" customFormat="false" ht="15" hidden="false" customHeight="true" outlineLevel="0" collapsed="false">
      <c r="A160" s="10"/>
      <c r="B160" s="11"/>
    </row>
    <row r="161" customFormat="false" ht="15" hidden="false" customHeight="true" outlineLevel="0" collapsed="false">
      <c r="A161" s="10"/>
      <c r="B161" s="11"/>
    </row>
    <row r="162" customFormat="false" ht="15" hidden="false" customHeight="true" outlineLevel="0" collapsed="false">
      <c r="A162" s="10"/>
      <c r="B162" s="11"/>
    </row>
    <row r="163" customFormat="false" ht="15" hidden="false" customHeight="true" outlineLevel="0" collapsed="false">
      <c r="A163" s="10"/>
      <c r="B163" s="11"/>
    </row>
    <row r="164" customFormat="false" ht="15" hidden="false" customHeight="true" outlineLevel="0" collapsed="false">
      <c r="A164" s="10"/>
      <c r="B164" s="11"/>
    </row>
    <row r="165" customFormat="false" ht="15" hidden="false" customHeight="true" outlineLevel="0" collapsed="false">
      <c r="A165" s="10"/>
      <c r="B165" s="11"/>
    </row>
    <row r="166" customFormat="false" ht="15" hidden="false" customHeight="true" outlineLevel="0" collapsed="false">
      <c r="A166" s="10"/>
      <c r="B166" s="11"/>
    </row>
    <row r="167" customFormat="false" ht="15" hidden="false" customHeight="true" outlineLevel="0" collapsed="false">
      <c r="A167" s="10"/>
      <c r="B167" s="11"/>
    </row>
    <row r="168" customFormat="false" ht="15" hidden="false" customHeight="true" outlineLevel="0" collapsed="false">
      <c r="A168" s="10"/>
      <c r="B168" s="10"/>
    </row>
    <row r="169" customFormat="false" ht="15" hidden="false" customHeight="true" outlineLevel="0" collapsed="false">
      <c r="A169" s="10"/>
      <c r="B169" s="10"/>
    </row>
    <row r="170" customFormat="false" ht="15" hidden="false" customHeight="true" outlineLevel="0" collapsed="false">
      <c r="A170" s="10"/>
      <c r="B170" s="10"/>
    </row>
    <row r="171" customFormat="false" ht="15" hidden="false" customHeight="true" outlineLevel="0" collapsed="false">
      <c r="A171" s="10"/>
      <c r="B171" s="10"/>
    </row>
    <row r="172" customFormat="false" ht="15" hidden="false" customHeight="true" outlineLevel="0" collapsed="false">
      <c r="A172" s="10"/>
      <c r="B172" s="10"/>
    </row>
    <row r="173" customFormat="false" ht="15" hidden="false" customHeight="true" outlineLevel="0" collapsed="false">
      <c r="A173" s="10"/>
      <c r="B173" s="10"/>
    </row>
    <row r="174" customFormat="false" ht="15" hidden="false" customHeight="true" outlineLevel="0" collapsed="false">
      <c r="A174" s="10"/>
      <c r="B174" s="10"/>
    </row>
    <row r="175" customFormat="false" ht="15" hidden="false" customHeight="true" outlineLevel="0" collapsed="false">
      <c r="A175" s="10"/>
      <c r="B175" s="10"/>
    </row>
    <row r="176" customFormat="false" ht="15" hidden="false" customHeight="true" outlineLevel="0" collapsed="false">
      <c r="A176" s="10"/>
      <c r="B176"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10" min="2" style="1" width="13"/>
  </cols>
  <sheetData>
    <row r="1" customFormat="false" ht="15" hidden="false" customHeight="true" outlineLevel="0" collapsed="false">
      <c r="A1" s="2" t="s">
        <v>1349</v>
      </c>
    </row>
    <row r="2" customFormat="false" ht="15" hidden="false" customHeight="true" outlineLevel="0" collapsed="false">
      <c r="A2" s="5" t="s">
        <v>1350</v>
      </c>
    </row>
    <row r="4" customFormat="false" ht="23.25" hidden="false" customHeight="true" outlineLevel="0" collapsed="false">
      <c r="A4" s="6" t="s">
        <v>1351</v>
      </c>
      <c r="B4" s="6" t="s">
        <v>1352</v>
      </c>
      <c r="C4" s="6" t="s">
        <v>1353</v>
      </c>
      <c r="D4" s="6" t="s">
        <v>1354</v>
      </c>
      <c r="E4" s="6" t="s">
        <v>1355</v>
      </c>
      <c r="F4" s="6" t="s">
        <v>1356</v>
      </c>
      <c r="G4" s="6" t="s">
        <v>1357</v>
      </c>
      <c r="H4" s="6" t="s">
        <v>1358</v>
      </c>
      <c r="I4" s="6" t="s">
        <v>1359</v>
      </c>
      <c r="J4" s="6" t="s">
        <v>1360</v>
      </c>
    </row>
    <row r="5" customFormat="false" ht="15" hidden="false" customHeight="true" outlineLevel="0" collapsed="false">
      <c r="A5" s="12" t="s">
        <v>1361</v>
      </c>
      <c r="B5" s="12" t="n">
        <v>133</v>
      </c>
      <c r="C5" s="12" t="n">
        <v>74</v>
      </c>
      <c r="D5" s="12" t="n">
        <v>35</v>
      </c>
      <c r="E5" s="12" t="n">
        <v>22</v>
      </c>
      <c r="F5" s="12" t="n">
        <v>19</v>
      </c>
      <c r="G5" s="12" t="n">
        <v>16</v>
      </c>
      <c r="H5" s="12" t="n">
        <v>19</v>
      </c>
      <c r="I5" s="12" t="n">
        <v>49</v>
      </c>
      <c r="J5" s="12" t="n">
        <v>27</v>
      </c>
    </row>
    <row r="6" customFormat="false" ht="15" hidden="false" customHeight="true" outlineLevel="0" collapsed="false">
      <c r="A6" s="12" t="s">
        <v>1362</v>
      </c>
      <c r="B6" s="12" t="n">
        <v>111</v>
      </c>
      <c r="C6" s="12" t="n">
        <v>72</v>
      </c>
      <c r="D6" s="12" t="n">
        <v>37</v>
      </c>
      <c r="E6" s="12" t="n">
        <v>26</v>
      </c>
      <c r="F6" s="12" t="n">
        <v>21</v>
      </c>
      <c r="G6" s="12" t="n">
        <v>19</v>
      </c>
      <c r="H6" s="12" t="n">
        <v>18</v>
      </c>
      <c r="I6" s="12" t="n">
        <v>54</v>
      </c>
      <c r="J6" s="12" t="n">
        <v>23</v>
      </c>
    </row>
    <row r="7" customFormat="false" ht="15" hidden="false" customHeight="true" outlineLevel="0" collapsed="false">
      <c r="A7" s="13" t="s">
        <v>1363</v>
      </c>
      <c r="B7" s="13" t="n">
        <v>76</v>
      </c>
      <c r="C7" s="13" t="n">
        <v>68</v>
      </c>
      <c r="D7" s="13" t="n">
        <v>41</v>
      </c>
      <c r="E7" s="13" t="n">
        <v>32</v>
      </c>
      <c r="F7" s="13" t="n">
        <v>26</v>
      </c>
      <c r="G7" s="13" t="n">
        <v>21</v>
      </c>
      <c r="H7" s="13" t="n">
        <v>16</v>
      </c>
      <c r="I7" s="13" t="n">
        <v>62</v>
      </c>
      <c r="J7" s="13" t="n">
        <v>18</v>
      </c>
    </row>
    <row r="8" customFormat="false" ht="15" hidden="false" customHeight="true" outlineLevel="0" collapsed="false">
      <c r="A8" s="12" t="s">
        <v>1364</v>
      </c>
      <c r="B8" s="12" t="n">
        <v>24</v>
      </c>
      <c r="C8" s="12" t="n">
        <v>62</v>
      </c>
      <c r="D8" s="12" t="n">
        <v>38</v>
      </c>
      <c r="E8" s="12" t="n">
        <v>38</v>
      </c>
      <c r="F8" s="12" t="n">
        <v>25</v>
      </c>
      <c r="G8" s="12" t="n">
        <v>25</v>
      </c>
      <c r="H8" s="12" t="n">
        <v>29</v>
      </c>
      <c r="I8" s="12" t="n">
        <v>71</v>
      </c>
      <c r="J8" s="12" t="n">
        <v>0</v>
      </c>
    </row>
    <row r="9" customFormat="false" ht="15" hidden="false" customHeight="true" outlineLevel="0" collapsed="false">
      <c r="A9" s="12" t="s">
        <v>1365</v>
      </c>
      <c r="B9" s="12" t="n">
        <v>76</v>
      </c>
      <c r="C9" s="12" t="n">
        <v>68</v>
      </c>
      <c r="D9" s="12" t="n">
        <v>41</v>
      </c>
      <c r="E9" s="12" t="n">
        <v>32</v>
      </c>
      <c r="F9" s="12" t="n">
        <v>26</v>
      </c>
      <c r="G9" s="12" t="n">
        <v>21</v>
      </c>
      <c r="H9" s="12" t="n">
        <v>16</v>
      </c>
      <c r="I9" s="12" t="n">
        <v>62</v>
      </c>
      <c r="J9" s="12" t="n">
        <v>18</v>
      </c>
    </row>
    <row r="10" customFormat="false" ht="15" hidden="false" customHeight="true" outlineLevel="0" collapsed="false">
      <c r="A10" s="12" t="s">
        <v>1366</v>
      </c>
      <c r="B10" s="12" t="n">
        <v>70</v>
      </c>
      <c r="C10" s="12" t="n">
        <v>67</v>
      </c>
      <c r="D10" s="12" t="n">
        <v>36</v>
      </c>
      <c r="E10" s="12" t="n">
        <v>29</v>
      </c>
      <c r="F10" s="12" t="n">
        <v>20</v>
      </c>
      <c r="G10" s="12" t="n">
        <v>21</v>
      </c>
      <c r="H10" s="12" t="n">
        <v>21</v>
      </c>
      <c r="I10" s="12" t="n">
        <v>59</v>
      </c>
      <c r="J10" s="12" t="n">
        <v>17</v>
      </c>
    </row>
    <row r="11" customFormat="false" ht="15" hidden="false" customHeight="true" outlineLevel="0" collapsed="false">
      <c r="A11" s="12" t="s">
        <v>1367</v>
      </c>
      <c r="B11" s="12" t="n">
        <v>87</v>
      </c>
      <c r="C11" s="12" t="n">
        <v>75</v>
      </c>
      <c r="D11" s="12" t="n">
        <v>39</v>
      </c>
      <c r="E11" s="12" t="n">
        <v>23</v>
      </c>
      <c r="F11" s="12" t="n">
        <v>20</v>
      </c>
      <c r="G11" s="12" t="n">
        <v>20</v>
      </c>
      <c r="H11" s="12" t="n">
        <v>14</v>
      </c>
      <c r="I11" s="12" t="n">
        <v>62</v>
      </c>
      <c r="J11" s="12" t="n">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2026-10-01T20:04:02Z</dcterms:created>
  <dc:creator>openpyxl</dc:creator>
  <dc:description/>
  <dc:language>en-US</dc:language>
  <cp:lastModifiedBy/>
  <dcterms:modified xsi:type="dcterms:W3CDTF">2026-10-02T18:05:14Z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